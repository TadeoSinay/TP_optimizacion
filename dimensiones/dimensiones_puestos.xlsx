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eeme" sheetId="1" state="visible" r:id="rId3"/>
    <sheet name="Resumen" sheetId="2" state="visible" r:id="rId4"/>
    <sheet name="Compartidos" sheetId="3" state="visible" r:id="rId5"/>
    <sheet name="Manuales" sheetId="4" state="visible" r:id="rId6"/>
    <sheet name="Carros" sheetId="5" state="visible" r:id="rId7"/>
    <sheet name="Recargas" sheetId="6" state="visible" r:id="rId8"/>
    <sheet name="Pulmones" sheetId="7" state="visible" r:id="rId9"/>
    <sheet name="Estantes y carros"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<sst xmlns="http://schemas.openxmlformats.org/spreadsheetml/2006/main" count="2133" uniqueCount="889">
  <si>
    <t xml:space="preserve">DIMENSIONES POR PUESTO</t>
  </si>
  <si>
    <t xml:space="preserve">Qué es</t>
  </si>
  <si>
    <t xml:space="preserve">Las medidas de cada puesto para dibujar el plano: el área del puesto y cada cosa que va adentro. Sin almacenes.</t>
  </si>
  <si>
    <t xml:space="preserve">Hojas</t>
  </si>
  <si>
    <t xml:space="preserve">Resumen (superficie por puesto) · Compartidos (corte, marcado, PH + secado e insumos de montaje: los usan dos líneas y no se repiten) · Manuales · Carros · Recargas · Pulmones (qué se junta entre puestos, cómo espera, cuántos carros: Pulmones y propuesta) · Estantes y carros (medidas de estantes, bandejas, cajones, carros y rack, y cómo va cada pieza en cada nivel).</t>
  </si>
  <si>
    <t xml:space="preserve">Ancho / Largo</t>
  </si>
  <si>
    <t xml:space="preserve">Ancho = lado este-oeste del plano; largo = lado norte-sur. En m.</t>
  </si>
  <si>
    <t xml:space="preserve">Huella</t>
  </si>
  <si>
    <t xml:space="preserve">Ancho × largo. En la fila gris, la del área del puesto y cuánto ocupan los equipos.</t>
  </si>
  <si>
    <t xml:space="preserve">Rojo</t>
  </si>
  <si>
    <t xml:space="preserve">No está en las fuentes: hay que pedirlo al proveedor, medirlo o decidirlo.</t>
  </si>
  <si>
    <t xml:space="preserve">Fuente</t>
  </si>
  <si>
    <t xml:space="preserve">Plano = plano rev23 · Balanceo = Excel de Balanceo (puestos, máquinas, turnos, jaulas) · Pulmones = Excel de Pulmones (estantes, cajones, bandejas, carros) · Ficha = ficha del equipo · Word = Word del proceso (solo lógica).</t>
  </si>
  <si>
    <t xml:space="preserve">Fichas de alto</t>
  </si>
  <si>
    <t xml:space="preserve">G2 QC12Y-6X2500: goldsupplier.com/provide/p106252035.html · G1 (reventa ERMAK HGS 2600 × 6): resale.info n.º 164666861 · MB21: wagener-gmbh.com/wp-content/uploads/2021/05/Praegegeraete.pdf · Estante 2,0 m: Pulmones, Parametros B9.</t>
  </si>
  <si>
    <t xml:space="preserve">RESUMEN — superficie de cada puesto</t>
  </si>
  <si>
    <t xml:space="preserve">Puesto</t>
  </si>
  <si>
    <t xml:space="preserve">Ancho (m)</t>
  </si>
  <si>
    <t xml:space="preserve">Largo (m)</t>
  </si>
  <si>
    <t xml:space="preserve">Superficie (m²)</t>
  </si>
  <si>
    <t xml:space="preserve">Ocupan los equipos (m²)</t>
  </si>
  <si>
    <t xml:space="preserve">% ocupado</t>
  </si>
  <si>
    <t xml:space="preserve">MANUALES</t>
  </si>
  <si>
    <t xml:space="preserve">4. CORTE DE DISCO Y EMBUTIDO + supermercado de fondos y cúpulas · 1 máq. · 2 turnos</t>
  </si>
  <si>
    <t xml:space="preserve">5. PREPARACIÓN DE CUELLO (muesca ×2) · 2 máq. · 2 turnos</t>
  </si>
  <si>
    <t xml:space="preserve">7. SOLDADURA DEL CUELLO A LA CÚPULA · 1 máq. · 2 turnos</t>
  </si>
  <si>
    <t xml:space="preserve">8. CILINDRADO 1 – 10 kg (única roladora) · 1 máq. · 1 turno</t>
  </si>
  <si>
    <t xml:space="preserve">9. SOLDADURA LONGITUDINAL 2,5–10 kg — cuello de botella · 1 máq. · 2 turnos</t>
  </si>
  <si>
    <t xml:space="preserve">10. SOLDADURA LONGITUDINAL TIG 1 kg · 1 máq. · 2 turnos</t>
  </si>
  <si>
    <t xml:space="preserve">11. ENCASTRE DE FONDO · 1 máq. · 2 turnos</t>
  </si>
  <si>
    <t xml:space="preserve">12. BORDONEADO · 1 máq. · 2 turnos</t>
  </si>
  <si>
    <t xml:space="preserve">13. SOLDADURA CIRCUNFERENCIAL ×2 — marcapasos · 2 máq. · 2 turnos</t>
  </si>
  <si>
    <t xml:space="preserve">14. CONTROL DE ESPESOR · 1 máq. · 1 turno</t>
  </si>
  <si>
    <t xml:space="preserve">17 + 18 + 19. GRANALLADO + DETECCIÓN + CORRECCIÓN</t>
  </si>
  <si>
    <t xml:space="preserve">20. PINTURA EN POLVO + HORNO · 1 máq. · 2 turnos</t>
  </si>
  <si>
    <t xml:space="preserve">21. CARGA DE POLVO · 1 máq. · 1 turno</t>
  </si>
  <si>
    <t xml:space="preserve">22. ENSAMBLAJE · 1 máq. · 2 turnos</t>
  </si>
  <si>
    <t xml:space="preserve">23. PRESURIZACIÓN · 1 máq. · 1 turno</t>
  </si>
  <si>
    <t xml:space="preserve">24. ENSAYO DE PÉRDIDAS · 1 máq. · 1 turno</t>
  </si>
  <si>
    <t xml:space="preserve">25. ETIQUETADO · 1 máq. · 1 turno</t>
  </si>
  <si>
    <t xml:space="preserve">26. EMBALAJE — 17a armado de cajas · 2 máq. · 2 turnos</t>
  </si>
  <si>
    <t xml:space="preserve">26. EMBALAJE Y PALETIZADO · 2 máq. · 2 turnos</t>
  </si>
  <si>
    <t xml:space="preserve">26. EMBALAJE — 17b insumos de embalaje e identificación (al pie del puesto) · 2 máq. · 2 turnos</t>
  </si>
  <si>
    <t xml:space="preserve">Total Manuales</t>
  </si>
  <si>
    <t xml:space="preserve">CARROS</t>
  </si>
  <si>
    <t xml:space="preserve">2.2 PULMÓN de cuerpos planos grabados · 0 máq. · 1 turno</t>
  </si>
  <si>
    <t xml:space="preserve">3. CILINDRADO · 1 máq. · 1 turno</t>
  </si>
  <si>
    <t xml:space="preserve">4. PUNTEO DEL CUERPO · 1 máq. · 1 turno</t>
  </si>
  <si>
    <t xml:space="preserve">5. SOLDADURA LONGITUDINAL · 1 máq. · 1 turno</t>
  </si>
  <si>
    <t xml:space="preserve">6. SOLDADURA DE CUPLA EN LA CÚPULA · 1 máq. · 1 turno</t>
  </si>
  <si>
    <t xml:space="preserve">7. ARMADO + SOLDADURA CIRCUNFERENCIAL · 1 máq. · 1 turno</t>
  </si>
  <si>
    <t xml:space="preserve">8. SOLDADURA DE ACCESORIOS · 1 máq. · 1 turno</t>
  </si>
  <si>
    <t xml:space="preserve">8.1 FABRICACIÓN DE ACCESORIOS · 1 máq. · 1 turno</t>
  </si>
  <si>
    <t xml:space="preserve">8.1 BUFFER DE SEMIELABORADOS (al pie de 8.1) · 1 máq. · 1 turno</t>
  </si>
  <si>
    <t xml:space="preserve">11. ESPERA DEL PINTOR + CARROS DE MANIPULACIÓN · 1 máq. · 1 turno</t>
  </si>
  <si>
    <t xml:space="preserve">12. RECEPCIÓN DE PINTADOS + CAMBIO DE JUEGO (ruedas) · 1 máq. · 1 turno</t>
  </si>
  <si>
    <t xml:space="preserve">13. CARGA, MONTAJE Y PRESURIZACIÓN (estaciones A, B y C)</t>
  </si>
  <si>
    <t xml:space="preserve">13b. N₂ (al pie de 13) · 1 máq. · 1 turno</t>
  </si>
  <si>
    <t xml:space="preserve">15. ETIQUETADO + NO CONFORME</t>
  </si>
  <si>
    <t xml:space="preserve">14-17. ENSAYOS DE LOTE (adentro) + muestra · 1 máq. · 1 turno</t>
  </si>
  <si>
    <t xml:space="preserve">14-17. LIBERACIÓN / TRAZABILIDAD (abierto al 17 y a la expedición) · 1 máq. · 1 turno</t>
  </si>
  <si>
    <t xml:space="preserve">Total Carros</t>
  </si>
  <si>
    <t xml:space="preserve">RECARGAS</t>
  </si>
  <si>
    <t xml:space="preserve">R1 ×2. RECEPCIÓN Y REGISTRO · 2 máq. · 1 turno</t>
  </si>
  <si>
    <t xml:space="preserve">R2 ×2. INSPECCIÓN VISUAL · 2 máq. · 2 turnos</t>
  </si>
  <si>
    <t xml:space="preserve">R3. DESCARGA ABC (recinto de polvo) · 1 máq. · 2 turnos</t>
  </si>
  <si>
    <t xml:space="preserve">R4. DESCARTE ABC · BC (recinto de polvo) · 1 máq. · 1 turno</t>
  </si>
  <si>
    <t xml:space="preserve">R4. BIG BAG (recinto de polvo) · 1 máq. · 1 turno</t>
  </si>
  <si>
    <t xml:space="preserve">R5. LÍQUIDOS: AGUA · AFFF · CLASE K · 1 máq. · 1 turno</t>
  </si>
  <si>
    <t xml:space="preserve">R6. CO₂: RECUPERACIÓN Y CARGA · 1 máq. · 1 turno</t>
  </si>
  <si>
    <t xml:space="preserve">R7. HALOGENADOS · 1 máq. · 1 turno</t>
  </si>
  <si>
    <t xml:space="preserve">R8 ×2. DESARME Y LIMPIEZA (recinto de polvo) · 2 máq. · 2 turnos</t>
  </si>
  <si>
    <t xml:space="preserve">R9. DESARME E INSPECCIÓN GENERAL · 1 máq. · 1 turno</t>
  </si>
  <si>
    <t xml:space="preserve">R10. LABORATORIO · 1 máq. · 1 turno</t>
  </si>
  <si>
    <t xml:space="preserve">R11 + R23. PRUEBA HIDRÁULICA + PH DE MANGUERAS</t>
  </si>
  <si>
    <t xml:space="preserve">R12 + R13. SECADO + VIDEOSCOPIO</t>
  </si>
  <si>
    <t xml:space="preserve">R14 ×2. PINTURA (recinto) · 2 máq. · 2 turnos</t>
  </si>
  <si>
    <t xml:space="preserve">R15 ×2. CARGA DE POLVO ABC · BC (recinto) · 2 máq. · 2 turnos</t>
  </si>
  <si>
    <t xml:space="preserve">SECTOR CLASE D (recinto; parte del 15 y del 4)</t>
  </si>
  <si>
    <t xml:space="preserve">R16 ×2. ENSAMBLAJE Y MARBETE (recinto) · 2 máq. · 2 turnos</t>
  </si>
  <si>
    <t xml:space="preserve">R17. PRESURIZACIÓN (recinto) · 1 máq. · 2 turnos</t>
  </si>
  <si>
    <t xml:space="preserve">R18 + R19. ENSAMBLAJE GENERAL + CONTROL DE PESO</t>
  </si>
  <si>
    <t xml:space="preserve">R20 ×2. ENSAYO DE PÉRDIDAS · 2 máq. · 1 turno</t>
  </si>
  <si>
    <t xml:space="preserve">R21 ×2. PRECINTO, ETIQUETA Y DESPACHO · 2 máq. · 2 turnos</t>
  </si>
  <si>
    <t xml:space="preserve">R22. INUTILIZACIÓN · 1 máq. · 1 turno</t>
  </si>
  <si>
    <t xml:space="preserve">PL. PULMÓN A RECINTO (espera de jaulas)</t>
  </si>
  <si>
    <t xml:space="preserve">CLIMA DEL RECINTO DE POLVO</t>
  </si>
  <si>
    <t xml:space="preserve">POLVO NUEVO (al pie de R15) · 2 máq. · 2 turnos</t>
  </si>
  <si>
    <t xml:space="preserve">REPUESTOS (al pie de R16 y R17) · 2 máq. · 2 turnos</t>
  </si>
  <si>
    <t xml:space="preserve">PULMÓN DE ENTRADA (E) — jaulas de clientes</t>
  </si>
  <si>
    <t xml:space="preserve">PULMÓN DE SALIDA (D) — jaulas listas por cliente y ruta</t>
  </si>
  <si>
    <t xml:space="preserve">JAULAS VACÍAS</t>
  </si>
  <si>
    <t xml:space="preserve">CARGA DE BATERÍAS + TRAZABILIDAD</t>
  </si>
  <si>
    <t xml:space="preserve">Total Recargas</t>
  </si>
  <si>
    <t xml:space="preserve">COMPARTIDOS</t>
  </si>
  <si>
    <t xml:space="preserve">CORTE — 2 guillotinas en L · Manuales 2 + 3 y Carros 2</t>
  </si>
  <si>
    <t xml:space="preserve">MARCADO DEL CUERPO — marcadora 1 · Manuales 6 (puesto único de 2 máq. con Carros 2.1)</t>
  </si>
  <si>
    <t xml:space="preserve">MARCADO DEL CUERPO — marcadora 2 · Carros 2.1 (mismo puesto 6 del Balanceo)</t>
  </si>
  <si>
    <t xml:space="preserve">PRUEBA HIDRÁULICA + SECADO — un bloque · Manuales 15 + 16 y Carros 9 + 10</t>
  </si>
  <si>
    <t xml:space="preserve">INSUMOS DE MONTAJE — al lado del 13 de Carros; la estantería A va al ensamblaje de Manuales</t>
  </si>
  <si>
    <t xml:space="preserve">Total Compartidos</t>
  </si>
  <si>
    <t xml:space="preserve">TOTAL SIN ALMACENES</t>
  </si>
  <si>
    <t xml:space="preserve">PUESTOS COMPARTIDOS — los usan dos líneas</t>
  </si>
  <si>
    <t xml:space="preserve">Gris = puesto con su área total. Debajo, lo que hay adentro. Rojo = no está en las fuentes.</t>
  </si>
  <si>
    <t xml:space="preserve">Puesto / ítem</t>
  </si>
  <si>
    <t xml:space="preserve">Lo usa</t>
  </si>
  <si>
    <t xml:space="preserve">Cant.</t>
  </si>
  <si>
    <t xml:space="preserve">Alto (m)</t>
  </si>
  <si>
    <t xml:space="preserve">Huella (m²)</t>
  </si>
  <si>
    <t xml:space="preserve">Ubicación en el puesto</t>
  </si>
  <si>
    <t xml:space="preserve">Medidas internas / uso</t>
  </si>
  <si>
    <t xml:space="preserve">A confirmar</t>
  </si>
  <si>
    <t xml:space="preserve">Plano</t>
  </si>
  <si>
    <t xml:space="preserve">Corte G1 — Manuales 2 (y Carros 2) · 1 máq. · 1 turno</t>
  </si>
  <si>
    <t xml:space="preserve">Balanceo</t>
  </si>
  <si>
    <t xml:space="preserve">   Guillotina 1 Ermaksan CNC HGS 2600-6</t>
  </si>
  <si>
    <t xml:space="preserve">Los dos</t>
  </si>
  <si>
    <t xml:space="preserve">centro del área, frente S</t>
  </si>
  <si>
    <t xml:space="preserve">cuchilla 2.600 mm, espesor máx. 6 mm</t>
  </si>
  <si>
    <t xml:space="preserve">Plano · Balanceo · Ficha</t>
  </si>
  <si>
    <t xml:space="preserve">Alto tomado de la ficha de reventa del mismo tamaño (2006): confirmar con Ermaksan</t>
  </si>
  <si>
    <t xml:space="preserve">   Tope trasero G1 (zona libre)</t>
  </si>
  <si>
    <t xml:space="preserve">—</t>
  </si>
  <si>
    <t xml:space="preserve">al N de la G1</t>
  </si>
  <si>
    <t xml:space="preserve">tope trasero 1,0 m → franjas ≤ 1.000 mm</t>
  </si>
  <si>
    <t xml:space="preserve">   Brazos de apoyo con rodillos</t>
  </si>
  <si>
    <t xml:space="preserve">a confirmar</t>
  </si>
  <si>
    <t xml:space="preserve">entre la mesa 1 y la G1</t>
  </si>
  <si>
    <t xml:space="preserve">brazos de 1,0 m</t>
  </si>
  <si>
    <t xml:space="preserve">Alto = mesa de la guillotina</t>
  </si>
  <si>
    <t xml:space="preserve">   Mesa elevadora 1 SJG3.0-1.6 (paquete de hojas)</t>
  </si>
  <si>
    <t xml:space="preserve">al S de la G1, entra el autoelevador desde el O</t>
  </si>
  <si>
    <t xml:space="preserve">paquete 1,5 × 3,0 m, el lado de 1,5 hacia la cuchilla</t>
  </si>
  <si>
    <t xml:space="preserve">Plataforma y alto cerrado/abierto: ficha SJG3.0-1.6</t>
  </si>
  <si>
    <t xml:space="preserve">Corte G2 — Manuales 3 (y Carros 2) · 1 máq. · 1 turno</t>
  </si>
  <si>
    <t xml:space="preserve">   Guillotina 2 QC12Y 6 × 2500</t>
  </si>
  <si>
    <t xml:space="preserve">NE del área, frente O</t>
  </si>
  <si>
    <t xml:space="preserve">cuchilla 2.500 mm, mesa a 0,78 m, garganta 150 mm</t>
  </si>
  <si>
    <t xml:space="preserve">Plano 3,04 m de largo vs 3,10 m de la ficha</t>
  </si>
  <si>
    <t xml:space="preserve">   Tope trasero G2 (zona libre)</t>
  </si>
  <si>
    <t xml:space="preserve">al E de la G2</t>
  </si>
  <si>
    <t xml:space="preserve">tope trasero 0,8 m</t>
  </si>
  <si>
    <t xml:space="preserve">   Mesa elevadora 2 SJG3.0-1.6 = pulmón de franjas</t>
  </si>
  <si>
    <t xml:space="preserve">al O de la G2</t>
  </si>
  <si>
    <t xml:space="preserve">franjas en la mesa; 90 franjas como máximo, 0 módulos de estante; detalle en hojas Pulmones y Estantes y carros</t>
  </si>
  <si>
    <t xml:space="preserve">Plano · Pulmones</t>
  </si>
  <si>
    <t xml:space="preserve">Plataforma y alto: ficha SJG3.0-1.6</t>
  </si>
  <si>
    <t xml:space="preserve">   Carro FCEP10520 desarrollos manuales → marcado</t>
  </si>
  <si>
    <t xml:space="preserve">Manuales</t>
  </si>
  <si>
    <t xml:space="preserve">al E del tope de la G2, lado N</t>
  </si>
  <si>
    <t xml:space="preserve">carro de estantes Storage Compat; detalle en hojas Pulmones y Estantes y carros</t>
  </si>
  <si>
    <t xml:space="preserve">   Carro FCEP10520 piezas de carros → marcado 2</t>
  </si>
  <si>
    <t xml:space="preserve">Carros</t>
  </si>
  <si>
    <t xml:space="preserve">al E del tope de la G2, lado S</t>
  </si>
  <si>
    <t xml:space="preserve">   Carro de scrap (retazos)</t>
  </si>
  <si>
    <t xml:space="preserve">NO del área</t>
  </si>
  <si>
    <t xml:space="preserve">   Marcadora 1 (micropercusión Pannier ADP120160D)</t>
  </si>
  <si>
    <t xml:space="preserve">NO, frente S</t>
  </si>
  <si>
    <t xml:space="preserve">montada en columna sobre banco</t>
  </si>
  <si>
    <t xml:space="preserve">Plano · Word</t>
  </si>
  <si>
    <t xml:space="preserve">   Mesa FMT ME500</t>
  </si>
  <si>
    <t xml:space="preserve">al E del operario</t>
  </si>
  <si>
    <t xml:space="preserve">   Carro de marcados 1 kg → M1</t>
  </si>
  <si>
    <t xml:space="preserve">NE</t>
  </si>
  <si>
    <t xml:space="preserve">detalle en hojas Pulmones y Estantes y carros</t>
  </si>
  <si>
    <t xml:space="preserve">   Carro de marcados 2,5–10 kg → M1</t>
  </si>
  <si>
    <t xml:space="preserve">NE, debajo del anterior</t>
  </si>
  <si>
    <t xml:space="preserve">   Estante de desarrollos (pulmón)</t>
  </si>
  <si>
    <t xml:space="preserve">borde S, se carga desde el paso</t>
  </si>
  <si>
    <t xml:space="preserve">estante 1,2 × 0,6 m; último nivel a 1,6 m; 1.505 desarrollos máx., 15 bandejas; detalle en hojas Pulmones y Estantes y carros</t>
  </si>
  <si>
    <t xml:space="preserve">   Marcadora 2</t>
  </si>
  <si>
    <t xml:space="preserve">O, frente E</t>
  </si>
  <si>
    <t xml:space="preserve">borde E</t>
  </si>
  <si>
    <t xml:space="preserve">   Carro EFE 600 → pulmón 2.2</t>
  </si>
  <si>
    <t xml:space="preserve">borde E, al S de la mesa</t>
  </si>
  <si>
    <t xml:space="preserve">Prueba hidráulica — Manuales 15 · 2 máq. · 2 turnos</t>
  </si>
  <si>
    <t xml:space="preserve">   PH manuales FS-JD12A (1)</t>
  </si>
  <si>
    <t xml:space="preserve">   PH manuales FS-JD12A (2)</t>
  </si>
  <si>
    <t xml:space="preserve">N, frente S</t>
  </si>
  <si>
    <t xml:space="preserve">   Cilindros soldados: 5 carros del tramo (pulmón)</t>
  </si>
  <si>
    <t xml:space="preserve">S de las PH</t>
  </si>
  <si>
    <t xml:space="preserve">carro 1,3 × 0,7 m con 3 bandejas 1.200 × 600; sin estante, 5 m²; detalle en hojas Pulmones y Estantes y carros</t>
  </si>
  <si>
    <t xml:space="preserve">   Decantación + separador de aceites (común)</t>
  </si>
  <si>
    <t xml:space="preserve">SO</t>
  </si>
  <si>
    <t xml:space="preserve">   Tanque de agua 1.000 l</t>
  </si>
  <si>
    <t xml:space="preserve">S, al centro</t>
  </si>
  <si>
    <t xml:space="preserve">1.000 l, Ø 1,4 m en planta</t>
  </si>
  <si>
    <t xml:space="preserve">   Canaleta + pozo (común a las dos PH)</t>
  </si>
  <si>
    <t xml:space="preserve">a lo largo del borde S</t>
  </si>
  <si>
    <t xml:space="preserve">Profundidad</t>
  </si>
  <si>
    <t xml:space="preserve">Secado — Manuales 16 · 4 máq. · 2 turnos</t>
  </si>
  <si>
    <t xml:space="preserve">   Secado de manuales por boquilla</t>
  </si>
  <si>
    <t xml:space="preserve">S de las PH manuales</t>
  </si>
  <si>
    <t xml:space="preserve">cilindros por boquilla</t>
  </si>
  <si>
    <t xml:space="preserve">   Secadora Yukon 1</t>
  </si>
  <si>
    <t xml:space="preserve">centro, frente S</t>
  </si>
  <si>
    <t xml:space="preserve">   Secadora Yukon 2</t>
  </si>
  <si>
    <t xml:space="preserve">   Secadora Yukon 3</t>
  </si>
  <si>
    <t xml:space="preserve">   Secadora Yukon 4</t>
  </si>
  <si>
    <t xml:space="preserve">   Yukon + bomba</t>
  </si>
  <si>
    <t xml:space="preserve">SE</t>
  </si>
  <si>
    <t xml:space="preserve">   Cilindros mojados: 3 carros (pulmón)</t>
  </si>
  <si>
    <t xml:space="preserve">carro 1,3 × 0,7 m con 3 bandejas 1.200 × 600; sin estante, 3 m²; detalle en hojas Pulmones y Estantes y carros</t>
  </si>
  <si>
    <t xml:space="preserve">Prueba hidráulica — Carros 9 · 1 máq. · 1 turno</t>
  </si>
  <si>
    <t xml:space="preserve">   PH carros, puesto 1</t>
  </si>
  <si>
    <t xml:space="preserve">E, frente O</t>
  </si>
  <si>
    <t xml:space="preserve">   PH carros, puesto 2</t>
  </si>
  <si>
    <t xml:space="preserve">Secado — Carros 10 · 1 máq. · 1 turno</t>
  </si>
  <si>
    <t xml:space="preserve">   Carro de carros que se seca</t>
  </si>
  <si>
    <t xml:space="preserve">   Estantería A: 4 col. × 4 niv. = 16 pos. (manuales → M13)</t>
  </si>
  <si>
    <t xml:space="preserve">O</t>
  </si>
  <si>
    <t xml:space="preserve">válvulas, manómetros, mangueras, soportes; 1 semana pico</t>
  </si>
  <si>
    <t xml:space="preserve">   Estantería B: 8 pos. (carros → 13 y ruedas → 12)</t>
  </si>
  <si>
    <t xml:space="preserve">E</t>
  </si>
  <si>
    <t xml:space="preserve">válvulas, manómetros, mangas, lanzas, ruedas</t>
  </si>
  <si>
    <t xml:space="preserve">   Paso 1,45 m</t>
  </si>
  <si>
    <t xml:space="preserve">centro</t>
  </si>
  <si>
    <t xml:space="preserve">ancho 1,45 m</t>
  </si>
  <si>
    <t xml:space="preserve">MANUALES — puestos y lo que tienen adentro</t>
  </si>
  <si>
    <t xml:space="preserve">   Desbobinador + carro porta-bobinas</t>
  </si>
  <si>
    <t xml:space="preserve">extremo O de la línea</t>
  </si>
  <si>
    <t xml:space="preserve">rollo Ø ≤ 1.100 mm</t>
  </si>
  <si>
    <t xml:space="preserve">   Enderezadora + lubricante</t>
  </si>
  <si>
    <t xml:space="preserve">2.º de la línea</t>
  </si>
  <si>
    <t xml:space="preserve">   Alimentador Cena PRE-1</t>
  </si>
  <si>
    <t xml:space="preserve">3.º de la línea</t>
  </si>
  <si>
    <t xml:space="preserve">   Prensa Sangiacomo</t>
  </si>
  <si>
    <t xml:space="preserve">extremo E de la línea, frente S</t>
  </si>
  <si>
    <t xml:space="preserve">Alto y foso</t>
  </si>
  <si>
    <t xml:space="preserve">   Portamatrices</t>
  </si>
  <si>
    <t xml:space="preserve">al S del alimentador</t>
  </si>
  <si>
    <t xml:space="preserve">   Estantería de matrices (8 juegos)</t>
  </si>
  <si>
    <t xml:space="preserve">al S de la línea</t>
  </si>
  <si>
    <t xml:space="preserve">8 juegos</t>
  </si>
  <si>
    <t xml:space="preserve">   Contenedor scrap esqueleto 1.000 l</t>
  </si>
  <si>
    <t xml:space="preserve">al E de la prensa, 1,7 m adentro</t>
  </si>
  <si>
    <t xml:space="preserve">1.000 l; uñas para el autoelevador</t>
  </si>
  <si>
    <t xml:space="preserve">   Rack selectivo de fondos y cúpulas (supermercado)</t>
  </si>
  <si>
    <t xml:space="preserve">contra el borde N, se carga desde el pasillo</t>
  </si>
  <si>
    <t xml:space="preserve">2 vanos de 2,7 m × fondo 1,2 m × 3 niveles, 1.er nivel a 400 mm; 17 pallets 1.200 × 800 de 12 cajones, 1.045 mm de alto; detalle en hojas Pulmones y Estantes y carros</t>
  </si>
  <si>
    <t xml:space="preserve">Alto del rack</t>
  </si>
  <si>
    <t xml:space="preserve">   Pallet de cúpulas en armado (piso)</t>
  </si>
  <si>
    <t xml:space="preserve">al E del rack</t>
  </si>
  <si>
    <t xml:space="preserve">pallet 1.200 × 800; detalle en hojas Pulmones y Estantes y carros</t>
  </si>
  <si>
    <t xml:space="preserve">   Pallet de fondos en armado (piso)</t>
  </si>
  <si>
    <t xml:space="preserve">al E del anterior</t>
  </si>
  <si>
    <t xml:space="preserve">   Prensa de banco Pannier MB-21 (1)</t>
  </si>
  <si>
    <t xml:space="preserve">3.500 kg de fuerza, cuño de muesca, bloque en V</t>
  </si>
  <si>
    <t xml:space="preserve">Plano · Ficha</t>
  </si>
  <si>
    <t xml:space="preserve">El rect del plano incluye el banco: alto del banco</t>
  </si>
  <si>
    <t xml:space="preserve">   Prensa de banco Pannier MB-21 (2)</t>
  </si>
  <si>
    <t xml:space="preserve">ídem</t>
  </si>
  <si>
    <t xml:space="preserve">Alto del banco</t>
  </si>
  <si>
    <t xml:space="preserve">   Estante de cajones: cúpulas de la ola</t>
  </si>
  <si>
    <t xml:space="preserve">borde N</t>
  </si>
  <si>
    <t xml:space="preserve">3 cajones 600 × 400 × 300 por nivel, 4 niveles; 15 cajones de cúpulas de la ola; detalle en hojas Pulmones y Estantes y carros</t>
  </si>
  <si>
    <t xml:space="preserve">   Carro de 12 cajones: cúpulas preparadas → M6b</t>
  </si>
  <si>
    <t xml:space="preserve">al S</t>
  </si>
  <si>
    <t xml:space="preserve">carro de 12 cajones 600 × 400 × 300; detalle en hojas Pulmones y Estantes y carros</t>
  </si>
  <si>
    <t xml:space="preserve">   Soldadora de cuello FS-HFM1</t>
  </si>
  <si>
    <t xml:space="preserve">contra la pared S, frente N</t>
  </si>
  <si>
    <t xml:space="preserve">   Carro de 12 cajones: cúpulas preparadas (llega del M6a)</t>
  </si>
  <si>
    <t xml:space="preserve">N</t>
  </si>
  <si>
    <t xml:space="preserve">carro de 12 cajones 600 × 400 × 300</t>
  </si>
  <si>
    <t xml:space="preserve">   Carro de cúpulas con cuello → M7</t>
  </si>
  <si>
    <t xml:space="preserve">   Roladora 1 – 10 kg</t>
  </si>
  <si>
    <t xml:space="preserve">   Carro de desarrollos marcados (pulmón pegado)</t>
  </si>
  <si>
    <t xml:space="preserve">NO, junto al marcado</t>
  </si>
  <si>
    <t xml:space="preserve">pila al alcance; 201 desarrollos máx., 0 módulos; detalle en hojas Pulmones y Estantes y carros</t>
  </si>
  <si>
    <t xml:space="preserve">   Carro de virolas 2,5–10 kg → M3</t>
  </si>
  <si>
    <t xml:space="preserve">E, lado N</t>
  </si>
  <si>
    <t xml:space="preserve">carro 1,3 × 0,7 m con 3 bandejas 1.200 × 600; detalle en hojas Pulmones y Estantes y carros</t>
  </si>
  <si>
    <t xml:space="preserve">   Carro de virolas 1 kg → M3b</t>
  </si>
  <si>
    <t xml:space="preserve">E, lado S</t>
  </si>
  <si>
    <t xml:space="preserve">   Soldadora longitudinal Firesafer</t>
  </si>
  <si>
    <t xml:space="preserve">S, frente N</t>
  </si>
  <si>
    <t xml:space="preserve">   Brazo de extracción de humos</t>
  </si>
  <si>
    <t xml:space="preserve">SO de la soldadora</t>
  </si>
  <si>
    <t xml:space="preserve">Alto del brazo</t>
  </si>
  <si>
    <t xml:space="preserve">   Estante de virolas (N)</t>
  </si>
  <si>
    <t xml:space="preserve">estante 1,2 × 0,6 m; último nivel a 1,6 m; detalle en hojas Pulmones y Estantes y carros</t>
  </si>
  <si>
    <t xml:space="preserve">   Estante de virolas (O)</t>
  </si>
  <si>
    <t xml:space="preserve">borde O</t>
  </si>
  <si>
    <t xml:space="preserve">   Estante de virolas (E)</t>
  </si>
  <si>
    <t xml:space="preserve">   Carros de cuerpos soldados → M4</t>
  </si>
  <si>
    <t xml:space="preserve">Pulmones da 2 (el cuello no para); propuesta 1 + soporte fijo. El plano dibuja lugar para 2</t>
  </si>
  <si>
    <t xml:space="preserve">   Soldadora longitudinal TIG 1 kg</t>
  </si>
  <si>
    <t xml:space="preserve">   Estante de virolas 1 kg</t>
  </si>
  <si>
    <t xml:space="preserve">   Carro de cuerpos 1 kg → M4</t>
  </si>
  <si>
    <t xml:space="preserve">   Prensa Del Fabro 30 t</t>
  </si>
  <si>
    <t xml:space="preserve">30 t</t>
  </si>
  <si>
    <t xml:space="preserve">   Estante de cuerpos soldados (S)</t>
  </si>
  <si>
    <t xml:space="preserve">borde S</t>
  </si>
  <si>
    <t xml:space="preserve">   Estante de cuerpos soldados (E)</t>
  </si>
  <si>
    <t xml:space="preserve">   Estante de cajones: fondos de la ola</t>
  </si>
  <si>
    <t xml:space="preserve">3 cajones 600 × 400 × 300 por nivel, 4 niveles; 13 cajones de fondos de la ola; detalle en hojas Pulmones y Estantes y carros</t>
  </si>
  <si>
    <t xml:space="preserve">   Carro de cuerpos con fondo → M5</t>
  </si>
  <si>
    <t xml:space="preserve">   Bordoneadora Pilman SWM-400</t>
  </si>
  <si>
    <t xml:space="preserve">   Cuerpos con fondo: 1 carro (pulmón)</t>
  </si>
  <si>
    <t xml:space="preserve">S</t>
  </si>
  <si>
    <t xml:space="preserve">carro 1,3 × 0,7 m con 3 bandejas 1.200 × 600; sin estante, 2 m²; detalle en hojas Pulmones y Estantes y carros</t>
  </si>
  <si>
    <t xml:space="preserve">Pulmones da 2; entra todo en 1 carro (3 bandejas). Propuesta 1 + soporte fijo</t>
  </si>
  <si>
    <t xml:space="preserve">   Carro de bordoneados → M7</t>
  </si>
  <si>
    <t xml:space="preserve">   Soldadora circunferencial Firesafer 1</t>
  </si>
  <si>
    <t xml:space="preserve">SO, frente N</t>
  </si>
  <si>
    <t xml:space="preserve">bastidor 2 × 1,5 m</t>
  </si>
  <si>
    <t xml:space="preserve">   Soldadora circunferencial Firesafer 2</t>
  </si>
  <si>
    <t xml:space="preserve">SE, frente N</t>
  </si>
  <si>
    <t xml:space="preserve">   Estante de bordoneados (N)</t>
  </si>
  <si>
    <t xml:space="preserve">   Estante de bordoneados (O)</t>
  </si>
  <si>
    <t xml:space="preserve">   Estante de bordoneados (E)</t>
  </si>
  <si>
    <t xml:space="preserve">   Estante de cajones: cúpulas con cuello</t>
  </si>
  <si>
    <t xml:space="preserve">NO</t>
  </si>
  <si>
    <t xml:space="preserve">3 cajones 600 × 400 × 300 por nivel, 4 niveles; detalle en hojas Pulmones y Estantes y carros</t>
  </si>
  <si>
    <t xml:space="preserve">   Carro de cilindros soldados → PH</t>
  </si>
  <si>
    <t xml:space="preserve">   Mesa + medidor de espesores MR017</t>
  </si>
  <si>
    <t xml:space="preserve">   Muestra de rotura (2 %)</t>
  </si>
  <si>
    <t xml:space="preserve">2 % de la producción</t>
  </si>
  <si>
    <t xml:space="preserve">17. Granallado · 1 máq. · 2 turnos</t>
  </si>
  <si>
    <t xml:space="preserve">   Granalladora AirBlast G-100</t>
  </si>
  <si>
    <t xml:space="preserve">   Rodillos de entrada</t>
  </si>
  <si>
    <t xml:space="preserve">E de la granalladora</t>
  </si>
  <si>
    <t xml:space="preserve">   Rodillos de salida</t>
  </si>
  <si>
    <t xml:space="preserve">O de la granalladora</t>
  </si>
  <si>
    <t xml:space="preserve">   Ciclón + filtros</t>
  </si>
  <si>
    <t xml:space="preserve">   Granalla (pallet)</t>
  </si>
  <si>
    <t xml:space="preserve">   Cilindros secos: 3 carros del tramo (pulmón)</t>
  </si>
  <si>
    <t xml:space="preserve">   Rack de insumos de soldadura y superficie</t>
  </si>
  <si>
    <t xml:space="preserve">alambre, granalla, pintura; 1 mód.</t>
  </si>
  <si>
    <t xml:space="preserve">18. Detección de defectos · 1 máq. · 2 turnos</t>
  </si>
  <si>
    <t xml:space="preserve">   Mesa de inspección + luz</t>
  </si>
  <si>
    <t xml:space="preserve">   Jaula a corrección</t>
  </si>
  <si>
    <t xml:space="preserve">   Jaula a re-granallar</t>
  </si>
  <si>
    <t xml:space="preserve">   Jaula de descarte</t>
  </si>
  <si>
    <t xml:space="preserve">19. Corrección de defectos · 1 máq. · 1 turno</t>
  </si>
  <si>
    <t xml:space="preserve">   Amoladora + extracción</t>
  </si>
  <si>
    <t xml:space="preserve">   Carga a ganchos</t>
  </si>
  <si>
    <t xml:space="preserve">   Precalentamiento</t>
  </si>
  <si>
    <t xml:space="preserve">7,4 × 2 m</t>
  </si>
  <si>
    <t xml:space="preserve">   Cabina electrostática + recuperación</t>
  </si>
  <si>
    <t xml:space="preserve">7 × 2 m</t>
  </si>
  <si>
    <t xml:space="preserve">   Horno de curado a gas</t>
  </si>
  <si>
    <t xml:space="preserve">180–220 °C · 15–20 min · 4 pasadas (≈ 25 m de riel)</t>
  </si>
  <si>
    <t xml:space="preserve">   Enfriamiento</t>
  </si>
  <si>
    <t xml:space="preserve">   Descarga + tapón</t>
  </si>
  <si>
    <t xml:space="preserve">   Estante de cilindros granallados</t>
  </si>
  <si>
    <t xml:space="preserve">S, junto a la carga</t>
  </si>
  <si>
    <t xml:space="preserve">   Carros a la salida del horno</t>
  </si>
  <si>
    <t xml:space="preserve">carro 1,3 × 0,7 m con 3 bandejas 1.200 × 600</t>
  </si>
  <si>
    <t xml:space="preserve">Pulmones da 2 (el horno no para); propuesta 1 + soporte fijo</t>
  </si>
  <si>
    <t xml:space="preserve">   Estación big bag + polipasto</t>
  </si>
  <si>
    <t xml:space="preserve">big bag de 1 t</t>
  </si>
  <si>
    <t xml:space="preserve">Alto (big bag + polipasto)</t>
  </si>
  <si>
    <t xml:space="preserve">   Cargadora Yukon FS-A10</t>
  </si>
  <si>
    <t xml:space="preserve">centro-E, frente S</t>
  </si>
  <si>
    <t xml:space="preserve">   Balanza</t>
  </si>
  <si>
    <t xml:space="preserve">   Estante de pintados para cargar (E)</t>
  </si>
  <si>
    <t xml:space="preserve">   Estante de pintados para cargar (N)</t>
  </si>
  <si>
    <t xml:space="preserve">   Mesa + llave dinamométrica</t>
  </si>
  <si>
    <t xml:space="preserve">   Válvulas y mangueras</t>
  </si>
  <si>
    <t xml:space="preserve">   Precintos</t>
  </si>
  <si>
    <t xml:space="preserve">   Estante pasante de cargados de polvo</t>
  </si>
  <si>
    <t xml:space="preserve">borde E (pasante con M12)</t>
  </si>
  <si>
    <t xml:space="preserve">   Carro de armados → M14</t>
  </si>
  <si>
    <t xml:space="preserve">   Soporte + pinza Yukon</t>
  </si>
  <si>
    <t xml:space="preserve">   Regulador de N₂</t>
  </si>
  <si>
    <t xml:space="preserve">   Estante de armados</t>
  </si>
  <si>
    <t xml:space="preserve">   Tanque de inmersión</t>
  </si>
  <si>
    <t xml:space="preserve">6 matafuegos por tanda</t>
  </si>
  <si>
    <t xml:space="preserve">Alto y nivel de agua</t>
  </si>
  <si>
    <t xml:space="preserve">   Rejilla de goteo</t>
  </si>
  <si>
    <t xml:space="preserve">S del tanque</t>
  </si>
  <si>
    <t xml:space="preserve">   Rechazos</t>
  </si>
  <si>
    <t xml:space="preserve">   Estante pasante de presurizados</t>
  </si>
  <si>
    <t xml:space="preserve">   Dispensador + posicionador</t>
  </si>
  <si>
    <t xml:space="preserve">guía en V con tope de altura</t>
  </si>
  <si>
    <t xml:space="preserve">   Impresora de etiquetas</t>
  </si>
  <si>
    <t xml:space="preserve">   Estante pasante de ensayados</t>
  </si>
  <si>
    <t xml:space="preserve">   Carro de etiquetados → M17</t>
  </si>
  <si>
    <t xml:space="preserve">   Armadora de cajas</t>
  </si>
  <si>
    <t xml:space="preserve">   Cajas plegadas (piso)</t>
  </si>
  <si>
    <t xml:space="preserve">E, N</t>
  </si>
  <si>
    <t xml:space="preserve">   Cajas armadas (piso)</t>
  </si>
  <si>
    <t xml:space="preserve">E, S</t>
  </si>
  <si>
    <t xml:space="preserve">   Mesa de encajonado terminados</t>
  </si>
  <si>
    <t xml:space="preserve">O, mitad N</t>
  </si>
  <si>
    <t xml:space="preserve">a la altura de trabajo</t>
  </si>
  <si>
    <t xml:space="preserve">   Mesa de encajonado vacíos</t>
  </si>
  <si>
    <t xml:space="preserve">O, mitad S</t>
  </si>
  <si>
    <t xml:space="preserve">   Pallet en armado (terminados)</t>
  </si>
  <si>
    <t xml:space="preserve">al E de su mesa</t>
  </si>
  <si>
    <t xml:space="preserve">   Pallet en armado (vacíos)</t>
  </si>
  <si>
    <t xml:space="preserve">   Envolvedora EDOS PS 5</t>
  </si>
  <si>
    <t xml:space="preserve">plato Ø 1,6 m en el plano</t>
  </si>
  <si>
    <t xml:space="preserve">Alto de la torre y plato</t>
  </si>
  <si>
    <t xml:space="preserve">   Estante de vacíos pintados</t>
  </si>
  <si>
    <t xml:space="preserve">   Etiquetados: 1 carro (pulmón)</t>
  </si>
  <si>
    <t xml:space="preserve">   Pallets vacíos (piso)</t>
  </si>
  <si>
    <t xml:space="preserve">   Film y esquineros (piso)</t>
  </si>
  <si>
    <t xml:space="preserve">   Apilador + cargador</t>
  </si>
  <si>
    <t xml:space="preserve">   Identificación (precintos y etiquetas)</t>
  </si>
  <si>
    <t xml:space="preserve">CARROS — puestos y lo que tienen adentro</t>
  </si>
  <si>
    <t xml:space="preserve">   Cuerpos planos grabados (pulmón)</t>
  </si>
  <si>
    <t xml:space="preserve">centro del área</t>
  </si>
  <si>
    <t xml:space="preserve">52 cuerpos como máximo, 7,36 m²; detalle en hojas Pulmones y Estantes y carros</t>
  </si>
  <si>
    <t xml:space="preserve">Pulmones dice «sobre la mesa móvil de la guillotina»; el plano lo pone en el piso del 2.2. Alto de la pila</t>
  </si>
  <si>
    <t xml:space="preserve">   Roladora W12 8 × 1500</t>
  </si>
  <si>
    <t xml:space="preserve">8 mm × 1.500 mm</t>
  </si>
  <si>
    <t xml:space="preserve">   Zona de carga de la roladora</t>
  </si>
  <si>
    <t xml:space="preserve">N de la roladora</t>
  </si>
  <si>
    <t xml:space="preserve">   Mesa EFE</t>
  </si>
  <si>
    <t xml:space="preserve">   Salida axial + cuna</t>
  </si>
  <si>
    <t xml:space="preserve">   Virador</t>
  </si>
  <si>
    <t xml:space="preserve">   Banco + morsa</t>
  </si>
  <si>
    <t xml:space="preserve">   Pampa (soldadora)</t>
  </si>
  <si>
    <t xml:space="preserve">   Cuna</t>
  </si>
  <si>
    <t xml:space="preserve">   Virolas (pulmón en piso)</t>
  </si>
  <si>
    <t xml:space="preserve">2 virolas, 0,49 m²; piso demarcado 1,8 × 1,2 m; detalle en hojas Pulmones y Estantes y carros</t>
  </si>
  <si>
    <t xml:space="preserve">   Salida → 5 (sin pulmón)</t>
  </si>
  <si>
    <t xml:space="preserve">la soldadura es más rápida que el punteo</t>
  </si>
  <si>
    <t xml:space="preserve">   Soldadora longitudinal ZH-1300 + mesa</t>
  </si>
  <si>
    <t xml:space="preserve">   Carga axial</t>
  </si>
  <si>
    <t xml:space="preserve">   MIG + chiller</t>
  </si>
  <si>
    <t xml:space="preserve">   No conforme</t>
  </si>
  <si>
    <t xml:space="preserve">   Soldadora Müller</t>
  </si>
  <si>
    <t xml:space="preserve">   Carro 1 de cúpulas (llega del 8.0)</t>
  </si>
  <si>
    <t xml:space="preserve">   Cajón de cuplas</t>
  </si>
  <si>
    <t xml:space="preserve">   Kits</t>
  </si>
  <si>
    <t xml:space="preserve">   Carro canasto de salida: cúpulas con cupla (pulmón)</t>
  </si>
  <si>
    <t xml:space="preserve">13 cúpulas, 0,66 m²; pulmón y traslado a la vez; detalle en hojas Pulmones y Estantes y carros</t>
  </si>
  <si>
    <t xml:space="preserve">   Cúpulas</t>
  </si>
  <si>
    <t xml:space="preserve">   Fondos</t>
  </si>
  <si>
    <t xml:space="preserve">   Cuna (entrada)</t>
  </si>
  <si>
    <t xml:space="preserve">   Cuna (salida)</t>
  </si>
  <si>
    <t xml:space="preserve">   Cuerpos soldados (pulmón en piso)</t>
  </si>
  <si>
    <t xml:space="preserve">11 cuerpos, 3,07 m²; piso demarcado; detalle en hojas Pulmones y Estantes y carros</t>
  </si>
  <si>
    <t xml:space="preserve">   Tablero</t>
  </si>
  <si>
    <t xml:space="preserve">   Ruedas (1)</t>
  </si>
  <si>
    <t xml:space="preserve">   Ruedas (2)</t>
  </si>
  <si>
    <t xml:space="preserve">   Ejes</t>
  </si>
  <si>
    <t xml:space="preserve">   Salida</t>
  </si>
  <si>
    <t xml:space="preserve">   Juegos provisorios</t>
  </si>
  <si>
    <t xml:space="preserve">   Cilindro cerrado (pulmón en piso)</t>
  </si>
  <si>
    <t xml:space="preserve">1 cilindro, 0,25 m²; piso demarcado; detalle en hojas Pulmones y Estantes y carros</t>
  </si>
  <si>
    <t xml:space="preserve">   Rack de barras</t>
  </si>
  <si>
    <t xml:space="preserve">6,5 × 0,6 m</t>
  </si>
  <si>
    <t xml:space="preserve">Alto y niveles</t>
  </si>
  <si>
    <t xml:space="preserve">   Caballetes + sensitiva</t>
  </si>
  <si>
    <t xml:space="preserve">barras de 6,8 m</t>
  </si>
  <si>
    <t xml:space="preserve">   Dobladora</t>
  </si>
  <si>
    <t xml:space="preserve">   Taladro</t>
  </si>
  <si>
    <t xml:space="preserve">   Banco</t>
  </si>
  <si>
    <t xml:space="preserve">   Prensa 20 t</t>
  </si>
  <si>
    <t xml:space="preserve">20 t</t>
  </si>
  <si>
    <t xml:space="preserve">   Banco de kits</t>
  </si>
  <si>
    <t xml:space="preserve">   Carro de cajas</t>
  </si>
  <si>
    <t xml:space="preserve">   Carro de kits</t>
  </si>
  <si>
    <t xml:space="preserve">   Estantería de semielaborados</t>
  </si>
  <si>
    <t xml:space="preserve">3 niveles; detalle en hojas Pulmones y Estantes y carros</t>
  </si>
  <si>
    <t xml:space="preserve">   Pasillo 1,1 m (portón E1 ↔ 12 ↔ espera)</t>
  </si>
  <si>
    <t xml:space="preserve">ancho 1,1 m</t>
  </si>
  <si>
    <t xml:space="preserve">   Recipientes esperando la pintura (pulmón)</t>
  </si>
  <si>
    <t xml:space="preserve">centro, 3 filas</t>
  </si>
  <si>
    <t xml:space="preserve">29 recipientes, envío cada 2 días, parados con un taco atrás; 17,71 m². Ancho y largo = caja que contiene los tacos del plano; detalle en hojas Pulmones y Estantes y carros</t>
  </si>
  <si>
    <t xml:space="preserve">   Carros de manipulación (18, cuna en V 250–420 mm)</t>
  </si>
  <si>
    <t xml:space="preserve">S, 2 filas de 9</t>
  </si>
  <si>
    <t xml:space="preserve">cada carro 0,60 × 0,62 m</t>
  </si>
  <si>
    <t xml:space="preserve">   Carros pintados (pulmón en piso)</t>
  </si>
  <si>
    <t xml:space="preserve">29 carros, 17,71 m², sin ruedas, sobre taco de madera; detalle en hojas Pulmones y Estantes y carros</t>
  </si>
  <si>
    <t xml:space="preserve">   Cierre de cilindros</t>
  </si>
  <si>
    <t xml:space="preserve">   Ruedas nuevas 1</t>
  </si>
  <si>
    <t xml:space="preserve">   Ruedas nuevas 2</t>
  </si>
  <si>
    <t xml:space="preserve">   Rechazos del pintor</t>
  </si>
  <si>
    <t xml:space="preserve">13 B. Carga de polvo y presurización · 1 máq. · 1 turno</t>
  </si>
  <si>
    <t xml:space="preserve">   Bastidor big bag + polipasto</t>
  </si>
  <si>
    <t xml:space="preserve">   Estación B: balanza + Yukon</t>
  </si>
  <si>
    <t xml:space="preserve">13 A-C / 15. Montaje, manga, precinto y etiquetado · 1 máq. · 1 turno</t>
  </si>
  <si>
    <t xml:space="preserve">   Estanterías de válvulas y mangas</t>
  </si>
  <si>
    <t xml:space="preserve">   Estación A + carro</t>
  </si>
  <si>
    <t xml:space="preserve">S, centro</t>
  </si>
  <si>
    <t xml:space="preserve">   Estación C + carro</t>
  </si>
  <si>
    <t xml:space="preserve">   Batería de N₂ (jaula) → cañería a 13</t>
  </si>
  <si>
    <t xml:space="preserve">   Pack de N₂ de recambio</t>
  </si>
  <si>
    <t xml:space="preserve">E, desde el pasillo este</t>
  </si>
  <si>
    <t xml:space="preserve">   Mesa de etiquetado</t>
  </si>
  <si>
    <t xml:space="preserve">   Carro de entrada</t>
  </si>
  <si>
    <t xml:space="preserve">   Carro → PT</t>
  </si>
  <si>
    <t xml:space="preserve">extremo O</t>
  </si>
  <si>
    <t xml:space="preserve">   Paso</t>
  </si>
  <si>
    <t xml:space="preserve">14-17. Calidad: pérdidas, inspección final, liberación y ensayos de lote · 1 máq. · 1 turno</t>
  </si>
  <si>
    <t xml:space="preserve">   Remitos, etiquetas y placas de PT</t>
  </si>
  <si>
    <t xml:space="preserve">   Mesa de medición</t>
  </si>
  <si>
    <t xml:space="preserve">   Percha de mangas</t>
  </si>
  <si>
    <t xml:space="preserve">   Espera de la muestra (5)</t>
  </si>
  <si>
    <t xml:space="preserve">5 carros de la muestra; detalle en hojas Pulmones y Estantes y carros</t>
  </si>
  <si>
    <t xml:space="preserve">   Descarga a tambor 200 l + filtro</t>
  </si>
  <si>
    <t xml:space="preserve">tambor de 200 l (tiempo y %)</t>
  </si>
  <si>
    <t xml:space="preserve">   Sala del ensayo de pérdidas (7 días a 20 °C)</t>
  </si>
  <si>
    <t xml:space="preserve">Word de carros: sala de paneles de 5,0 × 5,0 m, alto 2,5 m, 30 lugares numerados de 0,5 m², al lado del 13</t>
  </si>
  <si>
    <t xml:space="preserve">Word</t>
  </si>
  <si>
    <t xml:space="preserve">No está dibujada en el plano rev23: definir dónde va y su tamaño con el plan (Balanceo agrupa 14-17)</t>
  </si>
  <si>
    <t xml:space="preserve">   PC + escáner + impresora</t>
  </si>
  <si>
    <t xml:space="preserve">   Mesa de habilitación de lotes</t>
  </si>
  <si>
    <t xml:space="preserve">   Archivo de registros (6 años)</t>
  </si>
  <si>
    <t xml:space="preserve">RECARGAS — puestos y lo que tienen adentro</t>
  </si>
  <si>
    <t xml:space="preserve">   Jaula en registro</t>
  </si>
  <si>
    <t xml:space="preserve">jaula 1,2 × 1,0 m (28 equipos); detalle en hojas Pulmones y Estantes y carros</t>
  </si>
  <si>
    <t xml:space="preserve">Plano 1,05 × 0,75 m vs jaula de 1,2 × 1,0 m del Word; alto de la jaula</t>
  </si>
  <si>
    <t xml:space="preserve">   Tablet 1</t>
  </si>
  <si>
    <t xml:space="preserve">tablet + impresora portátil de etiquetas</t>
  </si>
  <si>
    <t xml:space="preserve">   Tablet 2</t>
  </si>
  <si>
    <t xml:space="preserve">   Mesa de goma 1</t>
  </si>
  <si>
    <t xml:space="preserve">   Mesa de goma 2</t>
  </si>
  <si>
    <t xml:space="preserve">   Destino: apto</t>
  </si>
  <si>
    <t xml:space="preserve">   Destino: PH</t>
  </si>
  <si>
    <t xml:space="preserve">   Destino: rechazo</t>
  </si>
  <si>
    <t xml:space="preserve">   Máquina neumática de descarga Yukon 240 kg</t>
  </si>
  <si>
    <t xml:space="preserve">   Tambor ABC</t>
  </si>
  <si>
    <t xml:space="preserve">Ø 0,6 m en planta</t>
  </si>
  <si>
    <t xml:space="preserve">   Tambor BC</t>
  </si>
  <si>
    <t xml:space="preserve">   Estación big bag 1 m³ (sobre pallet)</t>
  </si>
  <si>
    <t xml:space="preserve">1 m³</t>
  </si>
  <si>
    <t xml:space="preserve">   IBC 1.000 l AFFF residual</t>
  </si>
  <si>
    <t xml:space="preserve">1.000 l</t>
  </si>
  <si>
    <t xml:space="preserve">   IBC 1.000 l clase K residual</t>
  </si>
  <si>
    <t xml:space="preserve">   Premezcla 3 %</t>
  </si>
  <si>
    <t xml:space="preserve">Ø 0,7 m en planta</t>
  </si>
  <si>
    <t xml:space="preserve">Alto y volumen</t>
  </si>
  <si>
    <t xml:space="preserve">   Agente K</t>
  </si>
  <si>
    <t xml:space="preserve">Ø 0,56 m en planta</t>
  </si>
  <si>
    <t xml:space="preserve">   Tanque de agua 600 l</t>
  </si>
  <si>
    <t xml:space="preserve">600 l, Ø 0,8 m en planta</t>
  </si>
  <si>
    <t xml:space="preserve">   Bomba</t>
  </si>
  <si>
    <t xml:space="preserve">   Bomba manual</t>
  </si>
  <si>
    <t xml:space="preserve">   Balanza de plataforma</t>
  </si>
  <si>
    <t xml:space="preserve">   Trasvasadora 103/D1</t>
  </si>
  <si>
    <t xml:space="preserve">   Morsa + balanza</t>
  </si>
  <si>
    <t xml:space="preserve">   Cilindros S (3) y R (1)</t>
  </si>
  <si>
    <t xml:space="preserve">4 lugares de Ø 0,3 m</t>
  </si>
  <si>
    <t xml:space="preserve">   Recuperadora SHN-5</t>
  </si>
  <si>
    <t xml:space="preserve">   THB/BP + pinza</t>
  </si>
  <si>
    <t xml:space="preserve">   Cilindros R, A y C</t>
  </si>
  <si>
    <t xml:space="preserve">3 lugares de Ø 0,3 m</t>
  </si>
  <si>
    <t xml:space="preserve">   Mesa de desarme 1</t>
  </si>
  <si>
    <t xml:space="preserve">   Mesa de desarme 2</t>
  </si>
  <si>
    <t xml:space="preserve">   Pasaplatos P2</t>
  </si>
  <si>
    <t xml:space="preserve">pared E</t>
  </si>
  <si>
    <t xml:space="preserve">ventana de paso del recinto</t>
  </si>
  <si>
    <t xml:space="preserve">Alto y altura de la ventana</t>
  </si>
  <si>
    <t xml:space="preserve">   Mesa + morsa + boroscopio</t>
  </si>
  <si>
    <t xml:space="preserve">   Bandejas</t>
  </si>
  <si>
    <t xml:space="preserve">   Enjuague</t>
  </si>
  <si>
    <t xml:space="preserve">   Mufla</t>
  </si>
  <si>
    <t xml:space="preserve">   Puffer</t>
  </si>
  <si>
    <t xml:space="preserve">   Mesada (bajo mufla y Puffer)</t>
  </si>
  <si>
    <t xml:space="preserve">   Mesada + balanza 0,1 g</t>
  </si>
  <si>
    <t xml:space="preserve">balanza de 0,1 g</t>
  </si>
  <si>
    <t xml:space="preserve">   Muestras</t>
  </si>
  <si>
    <t xml:space="preserve">   Estantería de contramuestras</t>
  </si>
  <si>
    <t xml:space="preserve">11. Prueba hidráulica · 1 máq. · 2 turnos</t>
  </si>
  <si>
    <t xml:space="preserve">5.5 equipos en el puesto (Little) → 1 jaula(s), 2.4 m²</t>
  </si>
  <si>
    <t xml:space="preserve">La jaula del puesto no está dibujada en el área</t>
  </si>
  <si>
    <t xml:space="preserve">   PH Yukon 300 kg/cm²</t>
  </si>
  <si>
    <t xml:space="preserve">mesa, unidad FR-L, jaula de protección; circuito cerrado con tanque de 100 l</t>
  </si>
  <si>
    <t xml:space="preserve">   Tanque pulmón 100 l</t>
  </si>
  <si>
    <t xml:space="preserve">100 l, Ø 0,54 m en planta</t>
  </si>
  <si>
    <t xml:space="preserve">23. PH de mangueras (CO₂ y rodantes) · 1 máq. · 1 turno</t>
  </si>
  <si>
    <t xml:space="preserve">1.1 equipos en el puesto (Little) → 1 jaula(s), 2.4 m²</t>
  </si>
  <si>
    <t xml:space="preserve">   PH de mangueras (R23)</t>
  </si>
  <si>
    <t xml:space="preserve">12. Secado · 1 máq. · 2 turnos</t>
  </si>
  <si>
    <t xml:space="preserve">5.0 equipos en el puesto (Little) → 1 jaula(s), 2.4 m²</t>
  </si>
  <si>
    <t xml:space="preserve">   Secadora 6 recipientes</t>
  </si>
  <si>
    <t xml:space="preserve">6 recipientes</t>
  </si>
  <si>
    <t xml:space="preserve">13. Inspección interior con videoscopio · 1 máq. · 1 turno</t>
  </si>
  <si>
    <t xml:space="preserve">9.4 equipos en el puesto (Little) → 1 jaula(s), 2.4 m²</t>
  </si>
  <si>
    <t xml:space="preserve">   Mesa en V + videoscopio</t>
  </si>
  <si>
    <t xml:space="preserve">   Giratorio 1</t>
  </si>
  <si>
    <t xml:space="preserve">Ø 0,54 m en planta</t>
  </si>
  <si>
    <t xml:space="preserve">   Giratorio 2</t>
  </si>
  <si>
    <t xml:space="preserve">   Cabina de pintura (HVLP + IR) y amoladora</t>
  </si>
  <si>
    <t xml:space="preserve">texto del plano «R14 ×2. PINTURA cabina · HVLP + IR amoladora»</t>
  </si>
  <si>
    <t xml:space="preserve">La cabina, el IR y la amoladora no tienen rectángulo propio: medidas a definir</t>
  </si>
  <si>
    <t xml:space="preserve">   Cargadora Yukon 1</t>
  </si>
  <si>
    <t xml:space="preserve">   Cargadora Yukon 2</t>
  </si>
  <si>
    <t xml:space="preserve">   Portátil BC</t>
  </si>
  <si>
    <t xml:space="preserve">   Pasaplatos P3</t>
  </si>
  <si>
    <t xml:space="preserve">15. Carga de polvo ABC, BC y Clase D (recinto) · 2 máq. · 2 turnos</t>
  </si>
  <si>
    <t xml:space="preserve">17.2 equipos en el puesto (Little) → 1 jaula(s), 2.4 m²</t>
  </si>
  <si>
    <t xml:space="preserve">   Cargadora PFF 12 l</t>
  </si>
  <si>
    <t xml:space="preserve">12 l</t>
  </si>
  <si>
    <t xml:space="preserve">   Desarme D</t>
  </si>
  <si>
    <t xml:space="preserve">4. Descarga a descarte (ABC, BC y Clase D) (recinto) · 1 máq. · 1 turno</t>
  </si>
  <si>
    <t xml:space="preserve">3.3 equipos en el puesto (Little) → 1 jaula(s), 2.4 m²</t>
  </si>
  <si>
    <t xml:space="preserve">   Tambor D</t>
  </si>
  <si>
    <t xml:space="preserve">   Mesa + llave dinamométrica 1</t>
  </si>
  <si>
    <t xml:space="preserve">   Mesa + llave dinamométrica 2</t>
  </si>
  <si>
    <t xml:space="preserve">   Soporte + pinza N₂</t>
  </si>
  <si>
    <t xml:space="preserve">   Pasaplatos P4</t>
  </si>
  <si>
    <t xml:space="preserve">18. Ensamblaje y presurización — zona general · 1 máq. · 1 turno</t>
  </si>
  <si>
    <t xml:space="preserve">2.2 equipos en el puesto (Little) → 1 jaula(s), 2.4 m²</t>
  </si>
  <si>
    <t xml:space="preserve">   Mesa + morsa + pinza Yukon</t>
  </si>
  <si>
    <t xml:space="preserve">19. Control de peso (CO₂ y halogenados sin recarga) · 1 máq. · 1 turno</t>
  </si>
  <si>
    <t xml:space="preserve">1.4 equipos en el puesto (Little) → 1 jaula(s), 2.4 m²</t>
  </si>
  <si>
    <t xml:space="preserve">   Balanza (R19)</t>
  </si>
  <si>
    <t xml:space="preserve">   Tanque de inmersión 1</t>
  </si>
  <si>
    <t xml:space="preserve">   Tanque de inmersión 2</t>
  </si>
  <si>
    <t xml:space="preserve">   Pierden</t>
  </si>
  <si>
    <t xml:space="preserve">   Rejilla</t>
  </si>
  <si>
    <t xml:space="preserve">   Dispensador + posicionador 1</t>
  </si>
  <si>
    <t xml:space="preserve">   Dispensador + posicionador 2</t>
  </si>
  <si>
    <t xml:space="preserve">   Jaula en armado</t>
  </si>
  <si>
    <t xml:space="preserve">Plano 0,95 × 0,75 m vs jaula de 1,2 × 1,0 m del Word; alto de la jaula</t>
  </si>
  <si>
    <t xml:space="preserve">   Prensa en V</t>
  </si>
  <si>
    <t xml:space="preserve">   Contenedor metal</t>
  </si>
  <si>
    <t xml:space="preserve">   Contenedor mangueras</t>
  </si>
  <si>
    <t xml:space="preserve">   Contenedor válvulas</t>
  </si>
  <si>
    <t xml:space="preserve">   Lugar verde</t>
  </si>
  <si>
    <t xml:space="preserve">Plano 1,0 × 0,75 m vs jaula de 1,2 × 1,0 m del Word; alto</t>
  </si>
  <si>
    <t xml:space="preserve">   Lugar amarillo</t>
  </si>
  <si>
    <t xml:space="preserve">   Deshumidificador</t>
  </si>
  <si>
    <t xml:space="preserve">Alto y caudal</t>
  </si>
  <si>
    <t xml:space="preserve">   Extracción 8 renovaciones/h + filtro</t>
  </si>
  <si>
    <t xml:space="preserve">8 renovaciones por hora</t>
  </si>
  <si>
    <t xml:space="preserve">   Polvo ABC (pallet)</t>
  </si>
  <si>
    <t xml:space="preserve">   Polvo BC</t>
  </si>
  <si>
    <t xml:space="preserve">   Estante de o-rings y marbetes</t>
  </si>
  <si>
    <t xml:space="preserve">   Posiciones de jaulas E1 a E16 (apiladas a 2)</t>
  </si>
  <si>
    <t xml:space="preserve">todo el sector</t>
  </si>
  <si>
    <t xml:space="preserve">cada posición 1,0 × 1,2 m; jaula 1,2 × 1,0 m (28 equipos); detalle en hojas Pulmones y Estantes y carros</t>
  </si>
  <si>
    <t xml:space="preserve">Plano · Balanceo</t>
  </si>
  <si>
    <t xml:space="preserve">El plano da 26 jaulas; el Balanceo pide ½ día = 10 jaulas, 24 m². Alto de 2 jaulas apiladas</t>
  </si>
  <si>
    <t xml:space="preserve">   Posiciones de jaulas D1 a D16 (apiladas a 2)</t>
  </si>
  <si>
    <t xml:space="preserve">   Jaulas vacías V1 y V2 (apiladas a 2)</t>
  </si>
  <si>
    <t xml:space="preserve">cada posición 1,0 × 1,2 m; detalle en hojas Pulmones y Estantes y carros</t>
  </si>
  <si>
    <t xml:space="preserve">   Apilador 1,5 t</t>
  </si>
  <si>
    <t xml:space="preserve">   Transpaleta 2,5 t</t>
  </si>
  <si>
    <t xml:space="preserve">   PC de trazabilidad</t>
  </si>
  <si>
    <t xml:space="preserve">PULMONES — qué se junta entre puestos, cómo espera y cuántos carros</t>
  </si>
  <si>
    <t xml:space="preserve">Columnas «Pulmones»: lo que calcula el Excel de Pulmones. Columnas «Propuesta»: 1 solo carro por tramo; mientras viaja, la bandeja que se está llenando queda en el soporte fijo del puesto que entrega (regla de Pulmones, Parametros B39). Con tandas no hace falta el carro de más.</t>
  </si>
  <si>
    <t xml:space="preserve">Pulmón</t>
  </si>
  <si>
    <t xml:space="preserve">De → a</t>
  </si>
  <si>
    <t xml:space="preserve">Dónde espera</t>
  </si>
  <si>
    <t xml:space="preserve">Máximo (u)</t>
  </si>
  <si>
    <t xml:space="preserve">Cómo espera</t>
  </si>
  <si>
    <t xml:space="preserve">Bandejas / cajones</t>
  </si>
  <si>
    <t xml:space="preserve">Módulos de estante</t>
  </si>
  <si>
    <t xml:space="preserve">Carros (Pulmones)</t>
  </si>
  <si>
    <t xml:space="preserve">Por qué</t>
  </si>
  <si>
    <t xml:space="preserve">m² (Pulmones)</t>
  </si>
  <si>
    <t xml:space="preserve">Carros (propuesta)</t>
  </si>
  <si>
    <t xml:space="preserve">m² (propuesta)</t>
  </si>
  <si>
    <t xml:space="preserve">Comentario</t>
  </si>
  <si>
    <t xml:space="preserve">Franjas</t>
  </si>
  <si>
    <t xml:space="preserve">Corte de chapa — 1.er corte en franjas (guillotina 1, manuales + carros) → Corte de chapa — 2.º corte en piezas (guillotina 2, manuales + carros)</t>
  </si>
  <si>
    <t xml:space="preserve">Guillotina 2 (mesa elevadora 2)</t>
  </si>
  <si>
    <t xml:space="preserve">Sobre la mesa elevadora 2 (fija), en la guillotina 2</t>
  </si>
  <si>
    <t xml:space="preserve">No se traslada en carro</t>
  </si>
  <si>
    <t xml:space="preserve">Desarrollos</t>
  </si>
  <si>
    <t xml:space="preserve">Corte de chapa — 2.º corte en piezas (guillotina 2, manuales + carros) → Marcado del cuerpo (manuales + carros)</t>
  </si>
  <si>
    <t xml:space="preserve">Marcado (manuales)</t>
  </si>
  <si>
    <t xml:space="preserve">Estante: pilas por modelo sobre bandejas</t>
  </si>
  <si>
    <t xml:space="preserve">1 carro por tramo</t>
  </si>
  <si>
    <t xml:space="preserve">Virolas</t>
  </si>
  <si>
    <t xml:space="preserve">Cilindrado → Soldadura longitudinal — 2,5 a 10 kg</t>
  </si>
  <si>
    <t xml:space="preserve">Sold. longitudinal 2,5–10 y TIG 1 kg</t>
  </si>
  <si>
    <t xml:space="preserve">Estante: parados en bandejas, un modelo por bandeja</t>
  </si>
  <si>
    <t xml:space="preserve">Cuerpos soldados</t>
  </si>
  <si>
    <t xml:space="preserve">Soldadura longitudinal — 2,5 a 10 kg → Encastre de fondo</t>
  </si>
  <si>
    <t xml:space="preserve">Encastre de fondo</t>
  </si>
  <si>
    <t xml:space="preserve">El que entrega no puede parar (es el cuello (soldadura longitudinal)): uno recibe mientras el otro viaja</t>
  </si>
  <si>
    <t xml:space="preserve">Con tandas alcanza 1: la bandeja en llenado queda en el soporte fijo mientras el carro viaja</t>
  </si>
  <si>
    <t xml:space="preserve">Fondos</t>
  </si>
  <si>
    <t xml:space="preserve">Corte de disco y embutido (cúpula y fondo) → Encastre de fondo</t>
  </si>
  <si>
    <t xml:space="preserve">Rack junto a la prensa + encastre</t>
  </si>
  <si>
    <t xml:space="preserve">Rack de pallets al lado de la prensa (la tanda) + estante en el puesto con la ola de mañana</t>
  </si>
  <si>
    <t xml:space="preserve">Cúpulas</t>
  </si>
  <si>
    <t xml:space="preserve">Corte de disco y embutido (cúpula y fondo) → Soldadura del cuello a la cúpula</t>
  </si>
  <si>
    <t xml:space="preserve">Rack junto a la prensa + prep. de cuello</t>
  </si>
  <si>
    <t xml:space="preserve">Desarrollos marcados</t>
  </si>
  <si>
    <t xml:space="preserve">Marcado del cuerpo (manuales + carros) → Cilindrado</t>
  </si>
  <si>
    <t xml:space="preserve">Cilindrado</t>
  </si>
  <si>
    <t xml:space="preserve">Pila al alcance entre el marcado y la cilindradora (pegados)</t>
  </si>
  <si>
    <t xml:space="preserve">Cúpulas con cuello</t>
  </si>
  <si>
    <t xml:space="preserve">Soldadura del cuello a la cúpula → Soldadura circunferencial de cúpula y fondo</t>
  </si>
  <si>
    <t xml:space="preserve">Sold. circunferencial</t>
  </si>
  <si>
    <t xml:space="preserve">Estante de cajones al pie de la soldadura circunferencial</t>
  </si>
  <si>
    <t xml:space="preserve">Cuerpos con fondo</t>
  </si>
  <si>
    <t xml:space="preserve">Encastre de fondo → Bordoneado</t>
  </si>
  <si>
    <t xml:space="preserve">Bordoneado</t>
  </si>
  <si>
    <t xml:space="preserve">Sin estante: el que consume no es más lento; lo que llega espera en los carros del tramo</t>
  </si>
  <si>
    <t xml:space="preserve">Sin estante: ↑(3 bandejas ÷ 3) + 1 (mínimo 2)</t>
  </si>
  <si>
    <t xml:space="preserve">Entra todo en 1 carro (3 bandejas): ese carro es el pulmón; la bandeja en llenado espera en el soporte fijo</t>
  </si>
  <si>
    <t xml:space="preserve">Cuerpos bordoneados</t>
  </si>
  <si>
    <t xml:space="preserve">Bordoneado → Soldadura circunferencial de cúpula y fondo</t>
  </si>
  <si>
    <t xml:space="preserve">Cilindros soldados</t>
  </si>
  <si>
    <t xml:space="preserve">Soldadura circunferencial de cúpula y fondo → Prueba hidráulica</t>
  </si>
  <si>
    <t xml:space="preserve">PH (bloque PH + secado)</t>
  </si>
  <si>
    <t xml:space="preserve">Sin estante: ↑(11 bandejas ÷ 3) + 1</t>
  </si>
  <si>
    <t xml:space="preserve">Lo que queda al cerrar el turno espera en carros estacionados (no son de tránsito). Alternativa: estante al pie del que consume</t>
  </si>
  <si>
    <t xml:space="preserve">Cilindros mojados</t>
  </si>
  <si>
    <t xml:space="preserve">Prueba hidráulica → Secado</t>
  </si>
  <si>
    <t xml:space="preserve">Secado</t>
  </si>
  <si>
    <t xml:space="preserve">Sin estante: ↑(5 bandejas ÷ 3) + 1</t>
  </si>
  <si>
    <t xml:space="preserve">Cilindros secos</t>
  </si>
  <si>
    <t xml:space="preserve">Secado → Granallado</t>
  </si>
  <si>
    <t xml:space="preserve">Granallado</t>
  </si>
  <si>
    <t xml:space="preserve">Sin estante: ↑(6 bandejas ÷ 3) + 1</t>
  </si>
  <si>
    <t xml:space="preserve">Cilindros granallados</t>
  </si>
  <si>
    <t xml:space="preserve">Granallado → Pintura en polvo + horno</t>
  </si>
  <si>
    <t xml:space="preserve">Pintura (carga a ganchos)</t>
  </si>
  <si>
    <t xml:space="preserve">Cilindros vacíos pintados</t>
  </si>
  <si>
    <t xml:space="preserve">Pintura en polvo + horno → Embalaje y paletizado</t>
  </si>
  <si>
    <t xml:space="preserve">Embalaje</t>
  </si>
  <si>
    <t xml:space="preserve">El que entrega no puede parar (sale del horno de pintura): uno recibe mientras el otro viaja</t>
  </si>
  <si>
    <t xml:space="preserve">Cilindros pintados para cargar</t>
  </si>
  <si>
    <t xml:space="preserve">Pintura en polvo + horno → Carga de polvo</t>
  </si>
  <si>
    <t xml:space="preserve">Carga de polvo</t>
  </si>
  <si>
    <t xml:space="preserve">Cilindros cargados de polvo</t>
  </si>
  <si>
    <t xml:space="preserve">Carga de polvo → Ensamblaje</t>
  </si>
  <si>
    <t xml:space="preserve">Ensamblaje</t>
  </si>
  <si>
    <t xml:space="preserve">Matafuegos armados</t>
  </si>
  <si>
    <t xml:space="preserve">Ensamblaje → Presurización</t>
  </si>
  <si>
    <t xml:space="preserve">Presurización</t>
  </si>
  <si>
    <t xml:space="preserve">Matafuegos presurizados</t>
  </si>
  <si>
    <t xml:space="preserve">Presurización → Control de calidad — Ensayo de pérdidas</t>
  </si>
  <si>
    <t xml:space="preserve">Ensayo de pérdidas</t>
  </si>
  <si>
    <t xml:space="preserve">Matafuegos ensayados</t>
  </si>
  <si>
    <t xml:space="preserve">Control de calidad — Ensayo de pérdidas → Etiquetado</t>
  </si>
  <si>
    <t xml:space="preserve">Etiquetado</t>
  </si>
  <si>
    <t xml:space="preserve">Matafuegos etiquetados</t>
  </si>
  <si>
    <t xml:space="preserve">Etiquetado → Embalaje y paletizado</t>
  </si>
  <si>
    <t xml:space="preserve">Total manuales</t>
  </si>
  <si>
    <t xml:space="preserve">Supermercado de fondos y cúpulas: rack de 2 vanos × 3 niveles, 17 pallets de 12 cajones (ya contado en fondos y cúpulas)</t>
  </si>
  <si>
    <t xml:space="preserve">Cuerpos planos grabados</t>
  </si>
  <si>
    <t xml:space="preserve">Guillotinas → Cilindrado de carros</t>
  </si>
  <si>
    <t xml:space="preserve">2.2 pulmón de cuerpos planos</t>
  </si>
  <si>
    <t xml:space="preserve">Sobre la mesa móvil de la guillotina, apilados (tanda de corte)</t>
  </si>
  <si>
    <t xml:space="preserve">La mesa móvil rueda hasta la cilindradora de carros</t>
  </si>
  <si>
    <t xml:space="preserve">Cilindrado → Punteo</t>
  </si>
  <si>
    <t xml:space="preserve">Punteo (4)</t>
  </si>
  <si>
    <t xml:space="preserve">Piso demarcado de 1,8 × 1,2 m al pie del punteo, paradas</t>
  </si>
  <si>
    <t xml:space="preserve">Rodando acostadas por el piso (11 a 41 kg): no se levantan</t>
  </si>
  <si>
    <t xml:space="preserve">Soldadura longitudinal → Armado (7)</t>
  </si>
  <si>
    <t xml:space="preserve">Armado (7)</t>
  </si>
  <si>
    <t xml:space="preserve">Piso demarcado al pie del armado (7), parados</t>
  </si>
  <si>
    <t xml:space="preserve">Rodando acostados hasta el virador del armado</t>
  </si>
  <si>
    <t xml:space="preserve">Cúpulas con cupla</t>
  </si>
  <si>
    <t xml:space="preserve">Soldadura de cupla (6) → Armado (7)</t>
  </si>
  <si>
    <t xml:space="preserve">Carro canasto entre 6 y 7</t>
  </si>
  <si>
    <t xml:space="preserve">En el carro canasto entre la soldadura de cupla y el armado</t>
  </si>
  <si>
    <t xml:space="preserve">El carro canasto (pulmón y traslado a la vez, puestos pegados)</t>
  </si>
  <si>
    <t xml:space="preserve">Cilindros cerrados</t>
  </si>
  <si>
    <t xml:space="preserve">Armado (7) → Accesorios (8)</t>
  </si>
  <si>
    <t xml:space="preserve">Accesorios (8)</t>
  </si>
  <si>
    <t xml:space="preserve">Piso demarcado al pie de accesorios (8), parados</t>
  </si>
  <si>
    <t xml:space="preserve">Rodando acostados hasta la mesa de accesorios</t>
  </si>
  <si>
    <t xml:space="preserve">Recipientes esperando la pintura</t>
  </si>
  <si>
    <t xml:space="preserve">PH y secado → Pintura tercerizada</t>
  </si>
  <si>
    <t xml:space="preserve">11 espera del pintor</t>
  </si>
  <si>
    <t xml:space="preserve">Espera del pintor: piso demarcado junto al portón, parados con un taco atrás</t>
  </si>
  <si>
    <t xml:space="preserve">Carro de manipulación hasta la espera y hasta la Master (rampa)</t>
  </si>
  <si>
    <t xml:space="preserve">Carros pintados</t>
  </si>
  <si>
    <t xml:space="preserve">Recepción de pintados (12) → Carga (13)</t>
  </si>
  <si>
    <t xml:space="preserve">12 recepción de pintados</t>
  </si>
  <si>
    <t xml:space="preserve">Piso demarcado de pintados: sin ruedas, parados sobre un taco de madera</t>
  </si>
  <si>
    <t xml:space="preserve">Carro de manipulación hasta la carga de polvo (13); las ruedas se ponen en el montaje</t>
  </si>
  <si>
    <t xml:space="preserve">Total carros</t>
  </si>
  <si>
    <t xml:space="preserve">Carros: piezas de 11 a 61 kg, esperan paradas en el piso (Ø + 100 mm)² × 1,4, sin estante ni carro de tránsito.</t>
  </si>
  <si>
    <t xml:space="preserve">Jaulas en los 23 puestos</t>
  </si>
  <si>
    <t xml:space="preserve">dentro de cada puesto</t>
  </si>
  <si>
    <t xml:space="preserve">en cada puesto</t>
  </si>
  <si>
    <t xml:space="preserve">jaulas de 28 equipos (ley de Little por puesto)</t>
  </si>
  <si>
    <t xml:space="preserve">Balanceo, Carga filas 104 a 130</t>
  </si>
  <si>
    <t xml:space="preserve">El plano solo dibuja la jaula de R1 y la de R21</t>
  </si>
  <si>
    <t xml:space="preserve">Pulmón de entrada</t>
  </si>
  <si>
    <t xml:space="preserve">camión → recepción</t>
  </si>
  <si>
    <t xml:space="preserve">Pulmón de entrada (E)</t>
  </si>
  <si>
    <t xml:space="preserve">jaulas apiladas a 2 (½ día)</t>
  </si>
  <si>
    <t xml:space="preserve">El plano dibuja 16 posiciones = 26 jaulas</t>
  </si>
  <si>
    <t xml:space="preserve">Pulmón de salida</t>
  </si>
  <si>
    <t xml:space="preserve">despacho → camión</t>
  </si>
  <si>
    <t xml:space="preserve">Pulmón de salida (D)</t>
  </si>
  <si>
    <t xml:space="preserve">Total recargas</t>
  </si>
  <si>
    <t xml:space="preserve">ESTANTES, CARROS Y CÓMO SE CARGAN</t>
  </si>
  <si>
    <t xml:space="preserve">1) MUEBLES Y UNIDADES DE CARGA</t>
  </si>
  <si>
    <t xml:space="preserve">Elemento</t>
  </si>
  <si>
    <t xml:space="preserve">Frente (mm)</t>
  </si>
  <si>
    <t xml:space="preserve">Fondo (mm)</t>
  </si>
  <si>
    <t xml:space="preserve">Alto (mm)</t>
  </si>
  <si>
    <t xml:space="preserve">Niveles</t>
  </si>
  <si>
    <t xml:space="preserve">Carga máx.</t>
  </si>
  <si>
    <t xml:space="preserve">Cómo es por dentro</t>
  </si>
  <si>
    <t xml:space="preserve">Estante de carga media (1 módulo)</t>
  </si>
  <si>
    <t xml:space="preserve">según la pieza (abajo)</t>
  </si>
  <si>
    <t xml:space="preserve">300 kg por nivel</t>
  </si>
  <si>
    <t xml:space="preserve">Primer nivel a 100 mm del piso; el último no pasa de 1.600 mm (se carga sin escalera). Entre niveles: alto de la pieza + 100 mm para meter la mano + 40 mm de la bandeja. 1 bandeja o 3 cajones por nivel.</t>
  </si>
  <si>
    <t xml:space="preserve">Pulmones, Parametros B7:B13</t>
  </si>
  <si>
    <t xml:space="preserve">Bandeja metálica</t>
  </si>
  <si>
    <t xml:space="preserve">150 kg</t>
  </si>
  <si>
    <t xml:space="preserve">Chapa plegada de 2 mm con borde de 30 mm. Rueda del carro al estante sobre carriles de rodillos. Un solo modelo por bandeja.</t>
  </si>
  <si>
    <t xml:space="preserve">Pulmones, Parametros B19:B22</t>
  </si>
  <si>
    <t xml:space="preserve">Cajón plástico</t>
  </si>
  <si>
    <t xml:space="preserve">20 kg con el cajón</t>
  </si>
  <si>
    <t xml:space="preserve">Interior 560 × 360 × 280 mm (pared y fondo de 20 mm). Fondos y cúpulas en columnas anidadas con 5 mm de luz.</t>
  </si>
  <si>
    <t xml:space="preserve">Pulmones, Parametros B23:B30</t>
  </si>
  <si>
    <t xml:space="preserve">Carro porta-bandejas (tránsito)</t>
  </si>
  <si>
    <t xml:space="preserve">3</t>
  </si>
  <si>
    <t xml:space="preserve">450 kg (3 × 150)</t>
  </si>
  <si>
    <t xml:space="preserve">3 niveles a la misma altura que los 3 primeros del estante: la bandeja pasa deslizando del carro al estante.</t>
  </si>
  <si>
    <t xml:space="preserve">Pulmones, Parametros B37, B42</t>
  </si>
  <si>
    <t xml:space="preserve">Carro de 12 cajones (tránsito)</t>
  </si>
  <si>
    <t xml:space="preserve">4</t>
  </si>
  <si>
    <t xml:space="preserve">12 cajones</t>
  </si>
  <si>
    <t xml:space="preserve">4 niveles de 3 cajones de 600 × 400, a la altura de los niveles del estante de cajones (100 / 500 / 900 / 1.300 mm).</t>
  </si>
  <si>
    <t xml:space="preserve">Pulmones, Parametros B38</t>
  </si>
  <si>
    <t xml:space="preserve">Soporte fijo junto al puesto que entrega</t>
  </si>
  <si>
    <t xml:space="preserve">1</t>
  </si>
  <si>
    <t xml:space="preserve">1 bandeja</t>
  </si>
  <si>
    <t xml:space="preserve">Donde queda la bandeja que se está llenando mientras el carro viaja.</t>
  </si>
  <si>
    <t xml:space="preserve">Pulmones, Parametros B39</t>
  </si>
  <si>
    <t xml:space="preserve">Rack selectivo (supermercado de fondos y cúpulas)</t>
  </si>
  <si>
    <t xml:space="preserve">3 pallets por nivel</t>
  </si>
  <si>
    <t xml:space="preserve">Vano de 2,7 m, 3 pallets de 800 de frente por nivel. Primer nivel a 400 mm (picking a mano entre 0,55 y 1,45 m); arriba, reserva.</t>
  </si>
  <si>
    <t xml:space="preserve">Pulmones, Parametros B53:B58</t>
  </si>
  <si>
    <t xml:space="preserve">Pallet de cajones (fondos o cúpulas)</t>
  </si>
  <si>
    <t xml:space="preserve">3 capas</t>
  </si>
  <si>
    <t xml:space="preserve">4 cajones por capa (2 × 2) y 3 capas. Un solo modelo por pallet.</t>
  </si>
  <si>
    <t xml:space="preserve">Pulmones, Parametros B53</t>
  </si>
  <si>
    <t xml:space="preserve">Jaula de recargas</t>
  </si>
  <si>
    <t xml:space="preserve">apilada a 2</t>
  </si>
  <si>
    <t xml:space="preserve">28 equipos</t>
  </si>
  <si>
    <t xml:space="preserve">Paletizable, uñas por los 4 lados.</t>
  </si>
  <si>
    <t xml:space="preserve">Word de recargas; Balanceo, Carga A131</t>
  </si>
  <si>
    <t xml:space="preserve">2) CÓMO SE CARGA CADA PIEZA (por modelo)</t>
  </si>
  <si>
    <t xml:space="preserve">Pieza y unidad de carga</t>
  </si>
  <si>
    <t xml:space="preserve">Modelo</t>
  </si>
  <si>
    <t xml:space="preserve">Cómo va</t>
  </si>
  <si>
    <t xml:space="preserve">Piezas por bandeja / cajón</t>
  </si>
  <si>
    <t xml:space="preserve">Peso (kg)</t>
  </si>
  <si>
    <t xml:space="preserve">Alto que ocupa (mm)</t>
  </si>
  <si>
    <t xml:space="preserve">Altura de cada nivel del estante (mm)</t>
  </si>
  <si>
    <t xml:space="preserve">Por módulo de estante</t>
  </si>
  <si>
    <t xml:space="preserve">Por carro</t>
  </si>
  <si>
    <t xml:space="preserve">Desarrollo — pila sobre bandeja</t>
  </si>
  <si>
    <t xml:space="preserve">1 kg</t>
  </si>
  <si>
    <t xml:space="preserve">1 pila de 254 desarrollos (chapa de 0,9 mm)</t>
  </si>
  <si>
    <t xml:space="preserve">5 niveles: 100 / 469 / 838 / 1207 / 1576</t>
  </si>
  <si>
    <t xml:space="preserve">2,5 kg</t>
  </si>
  <si>
    <t xml:space="preserve">1 pila de 147 desarrollos (chapa de 1,25 mm)</t>
  </si>
  <si>
    <t xml:space="preserve">5 niveles: 100 / 424 / 748 / 1072 / 1396</t>
  </si>
  <si>
    <t xml:space="preserve">5 kg</t>
  </si>
  <si>
    <t xml:space="preserve">1 pila de 76 desarrollos (chapa de 1,6 mm)</t>
  </si>
  <si>
    <t xml:space="preserve">6 niveles: 100 / 362 / 624 / 886 / 1148 / 1410</t>
  </si>
  <si>
    <t xml:space="preserve">10 kg</t>
  </si>
  <si>
    <t xml:space="preserve">1 pila de 34 desarrollos (chapa de 2,0 mm)</t>
  </si>
  <si>
    <t xml:space="preserve">8 niveles: 100 / 308 / 516 / 724 / 932 / 1140 / 1348 / 1556</t>
  </si>
  <si>
    <t xml:space="preserve">Virola o cuerpo — parado sobre bandeja</t>
  </si>
  <si>
    <t xml:space="preserve">parados en 15 filas × 7 = 105 (Ø 76,2 mm)</t>
  </si>
  <si>
    <t xml:space="preserve">4 niveles: 100 / 538 / 976 / 1414</t>
  </si>
  <si>
    <t xml:space="preserve">parados en 9 filas × 4 = 36 (Ø 124,0 mm)</t>
  </si>
  <si>
    <t xml:space="preserve">4 niveles: 100 / 573 / 1046 / 1519</t>
  </si>
  <si>
    <t xml:space="preserve">parados en 7 filas × 3 = 21 (Ø 153,0 mm)</t>
  </si>
  <si>
    <t xml:space="preserve">3 niveles: 100 / 654 / 1208</t>
  </si>
  <si>
    <t xml:space="preserve">parados en 6 filas × 3 = 18 (Ø 181,5 mm)</t>
  </si>
  <si>
    <t xml:space="preserve">3 niveles: 100 / 822 / 1544</t>
  </si>
  <si>
    <t xml:space="preserve">Cilindro — parado sobre bandeja</t>
  </si>
  <si>
    <t xml:space="preserve">Matafuego — parado sobre bandeja</t>
  </si>
  <si>
    <t xml:space="preserve">parados, 72 (por peso: entran 15 × 7 = 105)</t>
  </si>
  <si>
    <t xml:space="preserve">3 niveles: 100 / 630 / 1160</t>
  </si>
  <si>
    <t xml:space="preserve">parados, 34 (por peso: entran 9 × 4 = 36)</t>
  </si>
  <si>
    <t xml:space="preserve">3 niveles: 100 / 655 / 1210</t>
  </si>
  <si>
    <t xml:space="preserve">parados, 18 (por peso: entran 7 × 3 = 21)</t>
  </si>
  <si>
    <t xml:space="preserve">3 niveles: 100 / 735 / 1370</t>
  </si>
  <si>
    <t xml:space="preserve">parados, 9 (por peso: entran 6 × 3 = 18)</t>
  </si>
  <si>
    <t xml:space="preserve">2 niveles: 100 / 905</t>
  </si>
  <si>
    <t xml:space="preserve">En el carro entran 3 bandejas, pero en el estante solo 2 niveles quedan bajo 1,6 m</t>
  </si>
  <si>
    <t xml:space="preserve">Fondo — en cajón</t>
  </si>
  <si>
    <t xml:space="preserve">6 × 4 columnas de 12 piezas anidadas</t>
  </si>
  <si>
    <t xml:space="preserve">4 niveles: 100 / 500 / 900 / 1300</t>
  </si>
  <si>
    <t xml:space="preserve">4 × 2 columnas de 11 piezas anidadas</t>
  </si>
  <si>
    <t xml:space="preserve">3 × 2 columnas de 8 piezas anidadas</t>
  </si>
  <si>
    <t xml:space="preserve">3 × 1 columnas de 9 piezas anidadas</t>
  </si>
  <si>
    <t xml:space="preserve">Cúpula — en cajón</t>
  </si>
  <si>
    <t xml:space="preserve">4 × 2 columnas de 10 piezas anidadas</t>
  </si>
  <si>
    <t xml:space="preserve">3 × 2 columnas de 6 piezas anidadas</t>
  </si>
  <si>
    <t xml:space="preserve">3 × 1 columnas de 7 piezas anidadas</t>
  </si>
  <si>
    <t xml:space="preserve">Cúpula con cuello — en cajón</t>
  </si>
  <si>
    <t xml:space="preserve">sueltas en el cajón (cantidad del Word de manuales, límite 20 kg)</t>
  </si>
  <si>
    <t xml:space="preserve">Fuente: Pulmones, hojas Unidades y Datos (pesos, Ø y altos de cada modelo). Altura de los niveles = 100 mm + n × (alto de la pieza + 100 mm + 40 mm de bandeja).</t>
  </si>
</sst>
</file>

<file path=xl/styles.xml><?xml version="1.0" encoding="utf-8"?>
<styleSheet xmlns="http://schemas.openxmlformats.org/spreadsheetml/2006/main">
  <numFmts count="5">
    <numFmt numFmtId="164" formatCode="General"/>
    <numFmt numFmtId="165" formatCode="0.00"/>
    <numFmt numFmtId="166" formatCode="0%"/>
    <numFmt numFmtId="167" formatCode="0"/>
    <numFmt numFmtId="168" formatCode="0.0"/>
  </numFmts>
  <fonts count="11">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sz val="10"/>
      <name val="Arial"/>
      <family val="0"/>
      <charset val="1"/>
    </font>
    <font>
      <b val="true"/>
      <sz val="10"/>
      <name val="Arial"/>
      <family val="0"/>
      <charset val="1"/>
    </font>
    <font>
      <b val="true"/>
      <sz val="10"/>
      <color rgb="FFFFFFFF"/>
      <name val="Arial"/>
      <family val="0"/>
      <charset val="1"/>
    </font>
    <font>
      <i val="true"/>
      <sz val="9"/>
      <name val="Arial"/>
      <family val="0"/>
      <charset val="1"/>
    </font>
    <font>
      <sz val="10"/>
      <color rgb="FFC00000"/>
      <name val="Arial"/>
      <family val="0"/>
      <charset val="1"/>
    </font>
    <font>
      <b val="true"/>
      <sz val="10"/>
      <color rgb="FFC00000"/>
      <name val="Arial"/>
      <family val="0"/>
      <charset val="1"/>
    </font>
  </fonts>
  <fills count="5">
    <fill>
      <patternFill patternType="none"/>
    </fill>
    <fill>
      <patternFill patternType="gray125"/>
    </fill>
    <fill>
      <patternFill patternType="solid">
        <fgColor rgb="FF404040"/>
        <bgColor rgb="FF333300"/>
      </patternFill>
    </fill>
    <fill>
      <patternFill patternType="solid">
        <fgColor rgb="FFD9D9D9"/>
        <bgColor rgb="FFF2F2F2"/>
      </patternFill>
    </fill>
    <fill>
      <patternFill patternType="solid">
        <fgColor rgb="FFF2F2F2"/>
        <bgColor rgb="FFFFFFFF"/>
      </patternFill>
    </fill>
  </fills>
  <borders count="2">
    <border diagonalUp="false" diagonalDown="false">
      <left/>
      <right/>
      <top/>
      <bottom/>
      <diagonal/>
    </border>
    <border diagonalUp="false" diagonalDown="false">
      <left/>
      <right/>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top" textRotation="0" wrapText="true" indent="0" shrinkToFit="false"/>
      <protection locked="true" hidden="false"/>
    </xf>
    <xf numFmtId="164" fontId="6" fillId="3" borderId="0" xfId="0" applyFont="true" applyBorder="false" applyAlignment="true" applyProtection="false">
      <alignment horizontal="general" vertical="top" textRotation="0" wrapText="true" indent="0" shrinkToFit="false"/>
      <protection locked="true" hidden="false"/>
    </xf>
    <xf numFmtId="165" fontId="5" fillId="0" borderId="0" xfId="0" applyFont="true" applyBorder="false" applyAlignment="true" applyProtection="false">
      <alignment horizontal="general" vertical="top" textRotation="0" wrapText="true" indent="0" shrinkToFit="false"/>
      <protection locked="true" hidden="false"/>
    </xf>
    <xf numFmtId="166"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general" vertical="top" textRotation="0" wrapText="true" indent="0" shrinkToFit="false"/>
      <protection locked="true" hidden="false"/>
    </xf>
    <xf numFmtId="166" fontId="6" fillId="0" borderId="0" xfId="0" applyFont="true" applyBorder="false" applyAlignment="true" applyProtection="false">
      <alignment horizontal="general" vertical="top" textRotation="0" wrapText="true" indent="0" shrinkToFit="false"/>
      <protection locked="true" hidden="false"/>
    </xf>
    <xf numFmtId="165" fontId="6" fillId="3" borderId="0" xfId="0" applyFont="true" applyBorder="false" applyAlignment="true" applyProtection="false">
      <alignment horizontal="general" vertical="top" textRotation="0" wrapText="true" indent="0" shrinkToFit="false"/>
      <protection locked="true" hidden="false"/>
    </xf>
    <xf numFmtId="166" fontId="6" fillId="3"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6" fillId="4"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5" fontId="5"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10" fillId="4"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7" fontId="5" fillId="0" borderId="0" xfId="0" applyFont="true" applyBorder="false" applyAlignment="true" applyProtection="false">
      <alignment horizontal="general" vertical="top" textRotation="0" wrapText="true" indent="0" shrinkToFit="false"/>
      <protection locked="true" hidden="false"/>
    </xf>
    <xf numFmtId="167" fontId="6"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8" fontId="5" fillId="0" borderId="0" xfId="0" applyFont="true" applyBorder="false" applyAlignment="true" applyProtection="false">
      <alignment horizontal="general" vertical="top" textRotation="0" wrapText="true" indent="0" shrinkToFit="false"/>
      <protection locked="true" hidden="false"/>
    </xf>
    <xf numFmtId="167" fontId="5" fillId="0" borderId="1" xfId="0" applyFont="true" applyBorder="true" applyAlignment="true" applyProtection="false">
      <alignment horizontal="general" vertical="top" textRotation="0" wrapText="true" indent="0" shrinkToFit="false"/>
      <protection locked="true" hidden="false"/>
    </xf>
    <xf numFmtId="168" fontId="5"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10"/>
  </cols>
  <sheetData>
    <row r="1" customFormat="false" ht="16.15" hidden="false" customHeight="false" outlineLevel="0" collapsed="false">
      <c r="A1" s="1" t="s">
        <v>0</v>
      </c>
      <c r="B1" s="2"/>
    </row>
    <row r="2" customFormat="false" ht="15" hidden="false" customHeight="false" outlineLevel="0" collapsed="false">
      <c r="A2" s="3" t="s">
        <v>1</v>
      </c>
      <c r="B2" s="2" t="s">
        <v>2</v>
      </c>
    </row>
    <row r="3" customFormat="false" ht="35.05" hidden="false" customHeight="false" outlineLevel="0" collapsed="false">
      <c r="A3" s="3" t="s">
        <v>3</v>
      </c>
      <c r="B3" s="2" t="s">
        <v>4</v>
      </c>
    </row>
    <row r="4" customFormat="false" ht="15" hidden="false" customHeight="false" outlineLevel="0" collapsed="false">
      <c r="A4" s="3" t="s">
        <v>5</v>
      </c>
      <c r="B4" s="2" t="s">
        <v>6</v>
      </c>
    </row>
    <row r="5" customFormat="false" ht="15" hidden="false" customHeight="false" outlineLevel="0" collapsed="false">
      <c r="A5" s="3" t="s">
        <v>7</v>
      </c>
      <c r="B5" s="2" t="s">
        <v>8</v>
      </c>
    </row>
    <row r="6" customFormat="false" ht="15" hidden="false" customHeight="false" outlineLevel="0" collapsed="false">
      <c r="A6" s="3" t="s">
        <v>9</v>
      </c>
      <c r="B6" s="2" t="s">
        <v>10</v>
      </c>
    </row>
    <row r="7" customFormat="false" ht="23.85" hidden="false" customHeight="false" outlineLevel="0" collapsed="false">
      <c r="A7" s="3" t="s">
        <v>11</v>
      </c>
      <c r="B7" s="2" t="s">
        <v>12</v>
      </c>
    </row>
    <row r="8" customFormat="false" ht="23.85" hidden="false" customHeight="false" outlineLevel="0" collapsed="false">
      <c r="A8" s="3" t="s">
        <v>13</v>
      </c>
      <c r="B8" s="2" t="s">
        <v>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8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2"/>
    <col collapsed="false" customWidth="true" hidden="false" outlineLevel="0" max="3" min="2" style="0" width="10"/>
    <col collapsed="false" customWidth="true" hidden="false" outlineLevel="0" max="4" min="4" style="0" width="14"/>
    <col collapsed="false" customWidth="true" hidden="false" outlineLevel="0" max="5" min="5" style="0" width="16"/>
    <col collapsed="false" customWidth="true" hidden="false" outlineLevel="0" max="6" min="6" style="0" width="10"/>
  </cols>
  <sheetData>
    <row r="1" customFormat="false" ht="16.15" hidden="false" customHeight="false" outlineLevel="0" collapsed="false">
      <c r="A1" s="4" t="s">
        <v>15</v>
      </c>
    </row>
    <row r="3" customFormat="false" ht="23.85" hidden="false" customHeight="false" outlineLevel="0" collapsed="false">
      <c r="A3" s="5" t="s">
        <v>16</v>
      </c>
      <c r="B3" s="5" t="s">
        <v>17</v>
      </c>
      <c r="C3" s="5" t="s">
        <v>18</v>
      </c>
      <c r="D3" s="5" t="s">
        <v>19</v>
      </c>
      <c r="E3" s="5" t="s">
        <v>20</v>
      </c>
      <c r="F3" s="5" t="s">
        <v>21</v>
      </c>
    </row>
    <row r="4" customFormat="false" ht="15" hidden="false" customHeight="false" outlineLevel="0" collapsed="false">
      <c r="A4" s="6" t="s">
        <v>22</v>
      </c>
      <c r="B4" s="6"/>
      <c r="C4" s="6"/>
      <c r="D4" s="6"/>
      <c r="E4" s="6"/>
      <c r="F4" s="6"/>
    </row>
    <row r="5" customFormat="false" ht="15" hidden="false" customHeight="false" outlineLevel="0" collapsed="false">
      <c r="A5" s="2" t="s">
        <v>23</v>
      </c>
      <c r="B5" s="7" t="n">
        <f aca="false">Manuales!C5</f>
        <v>9</v>
      </c>
      <c r="C5" s="7" t="n">
        <f aca="false">Manuales!D5</f>
        <v>5.45</v>
      </c>
      <c r="D5" s="7" t="n">
        <f aca="false">Manuales!F5</f>
        <v>49.05</v>
      </c>
      <c r="E5" s="7" t="n">
        <f aca="false">SUM(Manuales!F6:F15)</f>
        <v>23.875</v>
      </c>
      <c r="F5" s="8" t="n">
        <f aca="false">E5/D5</f>
        <v>0.486748216106014</v>
      </c>
    </row>
    <row r="6" customFormat="false" ht="15" hidden="false" customHeight="false" outlineLevel="0" collapsed="false">
      <c r="A6" s="2" t="s">
        <v>24</v>
      </c>
      <c r="B6" s="7" t="n">
        <f aca="false">Manuales!C17</f>
        <v>3.1</v>
      </c>
      <c r="C6" s="7" t="n">
        <f aca="false">Manuales!D17</f>
        <v>5.45</v>
      </c>
      <c r="D6" s="7" t="n">
        <f aca="false">Manuales!F17</f>
        <v>16.895</v>
      </c>
      <c r="E6" s="7" t="n">
        <f aca="false">SUM(Manuales!F18:F21)</f>
        <v>3.25</v>
      </c>
      <c r="F6" s="8" t="n">
        <f aca="false">E6/D6</f>
        <v>0.192364604912696</v>
      </c>
    </row>
    <row r="7" customFormat="false" ht="15" hidden="false" customHeight="false" outlineLevel="0" collapsed="false">
      <c r="A7" s="2" t="s">
        <v>25</v>
      </c>
      <c r="B7" s="7" t="n">
        <f aca="false">Manuales!C23</f>
        <v>2.7</v>
      </c>
      <c r="C7" s="7" t="n">
        <f aca="false">Manuales!D23</f>
        <v>5.95</v>
      </c>
      <c r="D7" s="7" t="n">
        <f aca="false">Manuales!F23</f>
        <v>16.065</v>
      </c>
      <c r="E7" s="7" t="n">
        <f aca="false">SUM(Manuales!F24:F26)</f>
        <v>4.2</v>
      </c>
      <c r="F7" s="8" t="n">
        <f aca="false">E7/D7</f>
        <v>0.261437908496732</v>
      </c>
    </row>
    <row r="8" customFormat="false" ht="15" hidden="false" customHeight="false" outlineLevel="0" collapsed="false">
      <c r="A8" s="2" t="s">
        <v>26</v>
      </c>
      <c r="B8" s="7" t="n">
        <f aca="false">Manuales!C28</f>
        <v>2.8</v>
      </c>
      <c r="C8" s="7" t="n">
        <f aca="false">Manuales!D28</f>
        <v>4.45</v>
      </c>
      <c r="D8" s="7" t="n">
        <f aca="false">Manuales!F28</f>
        <v>12.46</v>
      </c>
      <c r="E8" s="7" t="n">
        <f aca="false">SUM(Manuales!F29:F32)</f>
        <v>5.42</v>
      </c>
      <c r="F8" s="8" t="n">
        <f aca="false">E8/D8</f>
        <v>0.434991974317817</v>
      </c>
    </row>
    <row r="9" customFormat="false" ht="15" hidden="false" customHeight="false" outlineLevel="0" collapsed="false">
      <c r="A9" s="2" t="s">
        <v>27</v>
      </c>
      <c r="B9" s="7" t="n">
        <f aca="false">Manuales!C34</f>
        <v>3</v>
      </c>
      <c r="C9" s="7" t="n">
        <f aca="false">Manuales!D34</f>
        <v>5.95</v>
      </c>
      <c r="D9" s="7" t="n">
        <f aca="false">Manuales!F34</f>
        <v>17.85</v>
      </c>
      <c r="E9" s="7" t="n">
        <f aca="false">SUM(Manuales!F35:F40)</f>
        <v>9.17</v>
      </c>
      <c r="F9" s="8" t="n">
        <f aca="false">E9/D9</f>
        <v>0.513725490196078</v>
      </c>
    </row>
    <row r="10" customFormat="false" ht="15" hidden="false" customHeight="false" outlineLevel="0" collapsed="false">
      <c r="A10" s="2" t="s">
        <v>28</v>
      </c>
      <c r="B10" s="7" t="n">
        <f aca="false">Manuales!C42</f>
        <v>3.6</v>
      </c>
      <c r="C10" s="7" t="n">
        <f aca="false">Manuales!D42</f>
        <v>6</v>
      </c>
      <c r="D10" s="7" t="n">
        <f aca="false">Manuales!F42</f>
        <v>21.6</v>
      </c>
      <c r="E10" s="7" t="n">
        <f aca="false">SUM(Manuales!F43:F46)</f>
        <v>5.57</v>
      </c>
      <c r="F10" s="8" t="n">
        <f aca="false">E10/D10</f>
        <v>0.25787037037037</v>
      </c>
    </row>
    <row r="11" customFormat="false" ht="15" hidden="false" customHeight="false" outlineLevel="0" collapsed="false">
      <c r="A11" s="2" t="s">
        <v>29</v>
      </c>
      <c r="B11" s="7" t="n">
        <f aca="false">Manuales!C48</f>
        <v>4</v>
      </c>
      <c r="C11" s="7" t="n">
        <f aca="false">Manuales!D48</f>
        <v>4.45</v>
      </c>
      <c r="D11" s="7" t="n">
        <f aca="false">Manuales!F48</f>
        <v>17.8</v>
      </c>
      <c r="E11" s="7" t="n">
        <f aca="false">SUM(Manuales!F49:F53)</f>
        <v>6.91</v>
      </c>
      <c r="F11" s="8" t="n">
        <f aca="false">E11/D11</f>
        <v>0.388202247191011</v>
      </c>
    </row>
    <row r="12" customFormat="false" ht="15" hidden="false" customHeight="false" outlineLevel="0" collapsed="false">
      <c r="A12" s="2" t="s">
        <v>30</v>
      </c>
      <c r="B12" s="7" t="n">
        <f aca="false">Manuales!C55</f>
        <v>2.8</v>
      </c>
      <c r="C12" s="7" t="n">
        <f aca="false">Manuales!D55</f>
        <v>4.45</v>
      </c>
      <c r="D12" s="7" t="n">
        <f aca="false">Manuales!F55</f>
        <v>12.46</v>
      </c>
      <c r="E12" s="7" t="n">
        <f aca="false">SUM(Manuales!F56:F58)</f>
        <v>4.71</v>
      </c>
      <c r="F12" s="8" t="n">
        <f aca="false">E12/D12</f>
        <v>0.37800963081862</v>
      </c>
    </row>
    <row r="13" customFormat="false" ht="15" hidden="false" customHeight="false" outlineLevel="0" collapsed="false">
      <c r="A13" s="2" t="s">
        <v>31</v>
      </c>
      <c r="B13" s="7" t="n">
        <f aca="false">Manuales!C60</f>
        <v>4.6</v>
      </c>
      <c r="C13" s="7" t="n">
        <f aca="false">Manuales!D60</f>
        <v>5.95</v>
      </c>
      <c r="D13" s="7" t="n">
        <f aca="false">Manuales!F60</f>
        <v>27.37</v>
      </c>
      <c r="E13" s="7" t="n">
        <f aca="false">SUM(Manuales!F61:F67)</f>
        <v>12.67</v>
      </c>
      <c r="F13" s="8" t="n">
        <f aca="false">E13/D13</f>
        <v>0.462915601023018</v>
      </c>
    </row>
    <row r="14" customFormat="false" ht="15" hidden="false" customHeight="false" outlineLevel="0" collapsed="false">
      <c r="A14" s="2" t="s">
        <v>32</v>
      </c>
      <c r="B14" s="7" t="n">
        <f aca="false">Manuales!C69</f>
        <v>1.6</v>
      </c>
      <c r="C14" s="7" t="n">
        <f aca="false">Manuales!D69</f>
        <v>5.95</v>
      </c>
      <c r="D14" s="7" t="n">
        <f aca="false">Manuales!F69</f>
        <v>9.52</v>
      </c>
      <c r="E14" s="7" t="n">
        <f aca="false">SUM(Manuales!F70:F71)</f>
        <v>2.08</v>
      </c>
      <c r="F14" s="8" t="n">
        <f aca="false">E14/D14</f>
        <v>0.218487394957983</v>
      </c>
    </row>
    <row r="15" customFormat="false" ht="15" hidden="false" customHeight="false" outlineLevel="0" collapsed="false">
      <c r="A15" s="2" t="s">
        <v>33</v>
      </c>
      <c r="B15" s="7" t="n">
        <f aca="false">Manuales!C73</f>
        <v>10.3</v>
      </c>
      <c r="C15" s="7" t="n">
        <f aca="false">Manuales!D73</f>
        <v>4.45</v>
      </c>
      <c r="D15" s="7" t="n">
        <f aca="false">Manuales!F73</f>
        <v>45.835</v>
      </c>
      <c r="E15" s="7" t="n">
        <f aca="false">SUM(Manuales!F74:F88)</f>
        <v>21.195</v>
      </c>
      <c r="F15" s="8" t="n">
        <f aca="false">E15/D15</f>
        <v>0.462419548380059</v>
      </c>
    </row>
    <row r="16" customFormat="false" ht="15" hidden="false" customHeight="false" outlineLevel="0" collapsed="false">
      <c r="A16" s="2" t="s">
        <v>34</v>
      </c>
      <c r="B16" s="7" t="n">
        <f aca="false">Manuales!C90</f>
        <v>10.3</v>
      </c>
      <c r="C16" s="7" t="n">
        <f aca="false">Manuales!D90</f>
        <v>8.85</v>
      </c>
      <c r="D16" s="7" t="n">
        <f aca="false">Manuales!F90</f>
        <v>91.155</v>
      </c>
      <c r="E16" s="7" t="n">
        <f aca="false">SUM(Manuales!F91:F98)</f>
        <v>66.965</v>
      </c>
      <c r="F16" s="8" t="n">
        <f aca="false">E16/D16</f>
        <v>0.73462783171521</v>
      </c>
    </row>
    <row r="17" customFormat="false" ht="15" hidden="false" customHeight="false" outlineLevel="0" collapsed="false">
      <c r="A17" s="2" t="s">
        <v>35</v>
      </c>
      <c r="B17" s="7" t="n">
        <f aca="false">Manuales!C100</f>
        <v>4.9</v>
      </c>
      <c r="C17" s="7" t="n">
        <f aca="false">Manuales!D100</f>
        <v>4.4</v>
      </c>
      <c r="D17" s="7" t="n">
        <f aca="false">Manuales!F100</f>
        <v>21.56</v>
      </c>
      <c r="E17" s="7" t="n">
        <f aca="false">SUM(Manuales!F101:F105)</f>
        <v>7.5175</v>
      </c>
      <c r="F17" s="8" t="n">
        <f aca="false">E17/D17</f>
        <v>0.348678107606679</v>
      </c>
    </row>
    <row r="18" customFormat="false" ht="15" hidden="false" customHeight="false" outlineLevel="0" collapsed="false">
      <c r="A18" s="2" t="s">
        <v>36</v>
      </c>
      <c r="B18" s="7" t="n">
        <f aca="false">Manuales!C107</f>
        <v>3.6</v>
      </c>
      <c r="C18" s="7" t="n">
        <f aca="false">Manuales!D107</f>
        <v>4.4</v>
      </c>
      <c r="D18" s="7" t="n">
        <f aca="false">Manuales!F107</f>
        <v>15.84</v>
      </c>
      <c r="E18" s="7" t="n">
        <f aca="false">SUM(Manuales!F108:F112)</f>
        <v>5.8075</v>
      </c>
      <c r="F18" s="8" t="n">
        <f aca="false">E18/D18</f>
        <v>0.366635101010101</v>
      </c>
    </row>
    <row r="19" customFormat="false" ht="15" hidden="false" customHeight="false" outlineLevel="0" collapsed="false">
      <c r="A19" s="2" t="s">
        <v>37</v>
      </c>
      <c r="B19" s="7" t="n">
        <f aca="false">Manuales!C114</f>
        <v>4.2</v>
      </c>
      <c r="C19" s="7" t="n">
        <f aca="false">Manuales!D114</f>
        <v>3</v>
      </c>
      <c r="D19" s="7" t="n">
        <f aca="false">Manuales!F114</f>
        <v>12.6</v>
      </c>
      <c r="E19" s="7" t="n">
        <f aca="false">SUM(Manuales!F115:F117)</f>
        <v>3.99</v>
      </c>
      <c r="F19" s="8" t="n">
        <f aca="false">E19/D19</f>
        <v>0.316666666666667</v>
      </c>
    </row>
    <row r="20" customFormat="false" ht="15" hidden="false" customHeight="false" outlineLevel="0" collapsed="false">
      <c r="A20" s="2" t="s">
        <v>38</v>
      </c>
      <c r="B20" s="7" t="n">
        <f aca="false">Manuales!C119</f>
        <v>4.2</v>
      </c>
      <c r="C20" s="7" t="n">
        <f aca="false">Manuales!D119</f>
        <v>2.8</v>
      </c>
      <c r="D20" s="7" t="n">
        <f aca="false">Manuales!F119</f>
        <v>11.76</v>
      </c>
      <c r="E20" s="7" t="n">
        <f aca="false">SUM(Manuales!F120:F123)</f>
        <v>3.58</v>
      </c>
      <c r="F20" s="8" t="n">
        <f aca="false">E20/D20</f>
        <v>0.304421768707483</v>
      </c>
    </row>
    <row r="21" customFormat="false" ht="15" hidden="false" customHeight="false" outlineLevel="0" collapsed="false">
      <c r="A21" s="2" t="s">
        <v>39</v>
      </c>
      <c r="B21" s="7" t="n">
        <f aca="false">Manuales!C125</f>
        <v>4.2</v>
      </c>
      <c r="C21" s="7" t="n">
        <f aca="false">Manuales!D125</f>
        <v>2.8</v>
      </c>
      <c r="D21" s="7" t="n">
        <f aca="false">Manuales!F125</f>
        <v>11.76</v>
      </c>
      <c r="E21" s="7" t="n">
        <f aca="false">SUM(Manuales!F126:F129)</f>
        <v>4.72</v>
      </c>
      <c r="F21" s="8" t="n">
        <f aca="false">E21/D21</f>
        <v>0.401360544217687</v>
      </c>
    </row>
    <row r="22" customFormat="false" ht="15" hidden="false" customHeight="false" outlineLevel="0" collapsed="false">
      <c r="A22" s="2" t="s">
        <v>40</v>
      </c>
      <c r="B22" s="7" t="n">
        <f aca="false">Manuales!C131</f>
        <v>4.2</v>
      </c>
      <c r="C22" s="7" t="n">
        <f aca="false">Manuales!D131</f>
        <v>2.4</v>
      </c>
      <c r="D22" s="7" t="n">
        <f aca="false">Manuales!F131</f>
        <v>10.08</v>
      </c>
      <c r="E22" s="7" t="n">
        <f aca="false">SUM(Manuales!F132:F134)</f>
        <v>3.82</v>
      </c>
      <c r="F22" s="8" t="n">
        <f aca="false">E22/D22</f>
        <v>0.378968253968254</v>
      </c>
    </row>
    <row r="23" customFormat="false" ht="15" hidden="false" customHeight="false" outlineLevel="0" collapsed="false">
      <c r="A23" s="2" t="s">
        <v>41</v>
      </c>
      <c r="B23" s="7" t="n">
        <f aca="false">Manuales!C136</f>
        <v>5.5</v>
      </c>
      <c r="C23" s="7" t="n">
        <f aca="false">Manuales!D136</f>
        <v>6.4</v>
      </c>
      <c r="D23" s="7" t="n">
        <f aca="false">Manuales!F136</f>
        <v>35.2</v>
      </c>
      <c r="E23" s="7" t="n">
        <f aca="false">SUM(Manuales!F137:F143)</f>
        <v>11.1</v>
      </c>
      <c r="F23" s="8" t="n">
        <f aca="false">E23/D23</f>
        <v>0.315340909090909</v>
      </c>
    </row>
    <row r="24" customFormat="false" ht="23.85" hidden="false" customHeight="false" outlineLevel="0" collapsed="false">
      <c r="A24" s="2" t="s">
        <v>42</v>
      </c>
      <c r="B24" s="7" t="n">
        <f aca="false">Manuales!C145</f>
        <v>3.35</v>
      </c>
      <c r="C24" s="7" t="n">
        <f aca="false">Manuales!D145</f>
        <v>4.6</v>
      </c>
      <c r="D24" s="7" t="n">
        <f aca="false">Manuales!F145</f>
        <v>15.41</v>
      </c>
      <c r="E24" s="7" t="n">
        <f aca="false">SUM(Manuales!F146:F150)</f>
        <v>8.7775</v>
      </c>
      <c r="F24" s="8" t="n">
        <f aca="false">E24/D24</f>
        <v>0.56959766385464</v>
      </c>
    </row>
    <row r="25" customFormat="false" ht="15" hidden="false" customHeight="false" outlineLevel="0" collapsed="false">
      <c r="A25" s="9" t="s">
        <v>43</v>
      </c>
      <c r="D25" s="10" t="n">
        <f aca="false">SUM(D5:D24)</f>
        <v>472.27</v>
      </c>
      <c r="E25" s="10" t="n">
        <f aca="false">SUM(E5:E24)</f>
        <v>215.3275</v>
      </c>
      <c r="F25" s="11" t="n">
        <f aca="false">E25/D25</f>
        <v>0.455941516505389</v>
      </c>
    </row>
    <row r="27" customFormat="false" ht="15" hidden="false" customHeight="false" outlineLevel="0" collapsed="false">
      <c r="A27" s="6" t="s">
        <v>44</v>
      </c>
      <c r="B27" s="6"/>
      <c r="C27" s="6"/>
      <c r="D27" s="6"/>
      <c r="E27" s="6"/>
      <c r="F27" s="6"/>
    </row>
    <row r="28" customFormat="false" ht="15" hidden="false" customHeight="false" outlineLevel="0" collapsed="false">
      <c r="A28" s="2" t="s">
        <v>45</v>
      </c>
      <c r="B28" s="7" t="n">
        <f aca="false">Carros!C5</f>
        <v>3.4</v>
      </c>
      <c r="C28" s="7" t="n">
        <f aca="false">Carros!D5</f>
        <v>2.2</v>
      </c>
      <c r="D28" s="7" t="n">
        <f aca="false">Carros!F5</f>
        <v>7.48</v>
      </c>
      <c r="E28" s="7" t="n">
        <f aca="false">SUM(Carros!F6:F6)</f>
        <v>5.27</v>
      </c>
      <c r="F28" s="8" t="n">
        <f aca="false">E28/D28</f>
        <v>0.704545454545455</v>
      </c>
    </row>
    <row r="29" customFormat="false" ht="15" hidden="false" customHeight="false" outlineLevel="0" collapsed="false">
      <c r="A29" s="2" t="s">
        <v>46</v>
      </c>
      <c r="B29" s="7" t="n">
        <f aca="false">Carros!C8</f>
        <v>7.2</v>
      </c>
      <c r="C29" s="7" t="n">
        <f aca="false">Carros!D8</f>
        <v>4.4</v>
      </c>
      <c r="D29" s="7" t="n">
        <f aca="false">Carros!F8</f>
        <v>31.68</v>
      </c>
      <c r="E29" s="7" t="n">
        <f aca="false">SUM(Carros!F9:F12)</f>
        <v>9.12</v>
      </c>
      <c r="F29" s="8" t="n">
        <f aca="false">E29/D29</f>
        <v>0.287878787878788</v>
      </c>
    </row>
    <row r="30" customFormat="false" ht="15" hidden="false" customHeight="false" outlineLevel="0" collapsed="false">
      <c r="A30" s="2" t="s">
        <v>47</v>
      </c>
      <c r="B30" s="7" t="n">
        <f aca="false">Carros!C14</f>
        <v>6.2</v>
      </c>
      <c r="C30" s="7" t="n">
        <f aca="false">Carros!D14</f>
        <v>4.3</v>
      </c>
      <c r="D30" s="7" t="n">
        <f aca="false">Carros!F14</f>
        <v>26.66</v>
      </c>
      <c r="E30" s="7" t="n">
        <f aca="false">SUM(Carros!F15:F20)</f>
        <v>6.84</v>
      </c>
      <c r="F30" s="8" t="n">
        <f aca="false">E30/D30</f>
        <v>0.256564141035259</v>
      </c>
    </row>
    <row r="31" customFormat="false" ht="15" hidden="false" customHeight="false" outlineLevel="0" collapsed="false">
      <c r="A31" s="2" t="s">
        <v>48</v>
      </c>
      <c r="B31" s="7" t="n">
        <f aca="false">Carros!C22</f>
        <v>6.4</v>
      </c>
      <c r="C31" s="7" t="n">
        <f aca="false">Carros!D22</f>
        <v>4.3</v>
      </c>
      <c r="D31" s="7" t="n">
        <f aca="false">Carros!F22</f>
        <v>27.52</v>
      </c>
      <c r="E31" s="7" t="n">
        <f aca="false">SUM(Carros!F23:F27)</f>
        <v>6.677</v>
      </c>
      <c r="F31" s="8" t="n">
        <f aca="false">E31/D31</f>
        <v>0.242623546511628</v>
      </c>
    </row>
    <row r="32" customFormat="false" ht="15" hidden="false" customHeight="false" outlineLevel="0" collapsed="false">
      <c r="A32" s="2" t="s">
        <v>49</v>
      </c>
      <c r="B32" s="7" t="n">
        <f aca="false">Carros!C29</f>
        <v>4.4</v>
      </c>
      <c r="C32" s="7" t="n">
        <f aca="false">Carros!D29</f>
        <v>4.3</v>
      </c>
      <c r="D32" s="7" t="n">
        <f aca="false">Carros!F29</f>
        <v>18.92</v>
      </c>
      <c r="E32" s="7" t="n">
        <f aca="false">SUM(Carros!F30:F36)</f>
        <v>3.469</v>
      </c>
      <c r="F32" s="8" t="n">
        <f aca="false">E32/D32</f>
        <v>0.183350951374207</v>
      </c>
    </row>
    <row r="33" customFormat="false" ht="15" hidden="false" customHeight="false" outlineLevel="0" collapsed="false">
      <c r="A33" s="2" t="s">
        <v>50</v>
      </c>
      <c r="B33" s="7" t="n">
        <f aca="false">Carros!C38</f>
        <v>5.6</v>
      </c>
      <c r="C33" s="7" t="n">
        <f aca="false">Carros!D38</f>
        <v>4.3</v>
      </c>
      <c r="D33" s="7" t="n">
        <f aca="false">Carros!F38</f>
        <v>24.08</v>
      </c>
      <c r="E33" s="7" t="n">
        <f aca="false">SUM(Carros!F39:F47)</f>
        <v>8.425</v>
      </c>
      <c r="F33" s="8" t="n">
        <f aca="false">E33/D33</f>
        <v>0.349875415282392</v>
      </c>
    </row>
    <row r="34" customFormat="false" ht="15" hidden="false" customHeight="false" outlineLevel="0" collapsed="false">
      <c r="A34" s="2" t="s">
        <v>51</v>
      </c>
      <c r="B34" s="7" t="n">
        <f aca="false">Carros!C49</f>
        <v>5</v>
      </c>
      <c r="C34" s="7" t="n">
        <f aca="false">Carros!D49</f>
        <v>4.3</v>
      </c>
      <c r="D34" s="7" t="n">
        <f aca="false">Carros!F49</f>
        <v>21.5</v>
      </c>
      <c r="E34" s="7" t="n">
        <f aca="false">SUM(Carros!F50:F60)</f>
        <v>7.4685</v>
      </c>
      <c r="F34" s="8" t="n">
        <f aca="false">E34/D34</f>
        <v>0.347372093023256</v>
      </c>
    </row>
    <row r="35" customFormat="false" ht="15" hidden="false" customHeight="false" outlineLevel="0" collapsed="false">
      <c r="A35" s="2" t="s">
        <v>52</v>
      </c>
      <c r="B35" s="7" t="n">
        <f aca="false">Carros!C62</f>
        <v>7.9</v>
      </c>
      <c r="C35" s="7" t="n">
        <f aca="false">Carros!D62</f>
        <v>4.4</v>
      </c>
      <c r="D35" s="7" t="n">
        <f aca="false">Carros!F62</f>
        <v>34.76</v>
      </c>
      <c r="E35" s="7" t="n">
        <f aca="false">SUM(Carros!F63:F71)</f>
        <v>13.08</v>
      </c>
      <c r="F35" s="8" t="n">
        <f aca="false">E35/D35</f>
        <v>0.376294591484465</v>
      </c>
    </row>
    <row r="36" customFormat="false" ht="15" hidden="false" customHeight="false" outlineLevel="0" collapsed="false">
      <c r="A36" s="2" t="s">
        <v>53</v>
      </c>
      <c r="B36" s="7" t="n">
        <f aca="false">Carros!C73</f>
        <v>1.5</v>
      </c>
      <c r="C36" s="7" t="n">
        <f aca="false">Carros!D73</f>
        <v>4.4</v>
      </c>
      <c r="D36" s="7" t="n">
        <f aca="false">Carros!F73</f>
        <v>6.6</v>
      </c>
      <c r="E36" s="7" t="n">
        <f aca="false">SUM(Carros!F74:F75)</f>
        <v>2.378</v>
      </c>
      <c r="F36" s="8" t="n">
        <f aca="false">E36/D36</f>
        <v>0.36030303030303</v>
      </c>
    </row>
    <row r="37" customFormat="false" ht="15" hidden="false" customHeight="false" outlineLevel="0" collapsed="false">
      <c r="A37" s="2" t="s">
        <v>54</v>
      </c>
      <c r="B37" s="7" t="n">
        <f aca="false">Carros!C77</f>
        <v>6.3</v>
      </c>
      <c r="C37" s="7" t="n">
        <f aca="false">Carros!D77</f>
        <v>5.45</v>
      </c>
      <c r="D37" s="7" t="n">
        <f aca="false">Carros!F77</f>
        <v>34.335</v>
      </c>
      <c r="E37" s="7" t="n">
        <f aca="false">SUM(Carros!F78:F80)</f>
        <v>22.1688</v>
      </c>
      <c r="F37" s="8" t="n">
        <f aca="false">E37/D37</f>
        <v>0.645661861074705</v>
      </c>
    </row>
    <row r="38" customFormat="false" ht="15" hidden="false" customHeight="false" outlineLevel="0" collapsed="false">
      <c r="A38" s="2" t="s">
        <v>55</v>
      </c>
      <c r="B38" s="7" t="n">
        <f aca="false">Carros!C82</f>
        <v>9.9</v>
      </c>
      <c r="C38" s="7" t="n">
        <f aca="false">Carros!D82</f>
        <v>4.5</v>
      </c>
      <c r="D38" s="7" t="n">
        <f aca="false">Carros!F82</f>
        <v>44.55</v>
      </c>
      <c r="E38" s="7" t="n">
        <f aca="false">SUM(Carros!F83:F87)</f>
        <v>26.86</v>
      </c>
      <c r="F38" s="8" t="n">
        <f aca="false">E38/D38</f>
        <v>0.602918069584736</v>
      </c>
    </row>
    <row r="39" customFormat="false" ht="15" hidden="false" customHeight="false" outlineLevel="0" collapsed="false">
      <c r="A39" s="2" t="s">
        <v>56</v>
      </c>
      <c r="B39" s="7" t="n">
        <f aca="false">Carros!C89</f>
        <v>12.3</v>
      </c>
      <c r="C39" s="7" t="n">
        <f aca="false">Carros!D89</f>
        <v>4.35</v>
      </c>
      <c r="D39" s="7" t="n">
        <f aca="false">Carros!F89</f>
        <v>53.505</v>
      </c>
      <c r="E39" s="7" t="n">
        <f aca="false">SUM(Carros!F90:F96)</f>
        <v>21.48</v>
      </c>
      <c r="F39" s="8" t="n">
        <f aca="false">E39/D39</f>
        <v>0.401457807681525</v>
      </c>
    </row>
    <row r="40" customFormat="false" ht="15" hidden="false" customHeight="false" outlineLevel="0" collapsed="false">
      <c r="A40" s="2" t="s">
        <v>57</v>
      </c>
      <c r="B40" s="7" t="n">
        <f aca="false">Carros!C98</f>
        <v>2.4</v>
      </c>
      <c r="C40" s="7" t="n">
        <f aca="false">Carros!D98</f>
        <v>4.5</v>
      </c>
      <c r="D40" s="7" t="n">
        <f aca="false">Carros!F98</f>
        <v>10.8</v>
      </c>
      <c r="E40" s="7" t="n">
        <f aca="false">SUM(Carros!F99:F100)</f>
        <v>6.27</v>
      </c>
      <c r="F40" s="8" t="n">
        <f aca="false">E40/D40</f>
        <v>0.580555555555556</v>
      </c>
    </row>
    <row r="41" customFormat="false" ht="15" hidden="false" customHeight="false" outlineLevel="0" collapsed="false">
      <c r="A41" s="2" t="s">
        <v>58</v>
      </c>
      <c r="B41" s="7" t="n">
        <f aca="false">Carros!C102</f>
        <v>9.4</v>
      </c>
      <c r="C41" s="7" t="n">
        <f aca="false">Carros!D102</f>
        <v>1.8</v>
      </c>
      <c r="D41" s="7" t="n">
        <f aca="false">Carros!F102</f>
        <v>16.92</v>
      </c>
      <c r="E41" s="7" t="n">
        <f aca="false">SUM(Carros!F103:F110)</f>
        <v>7.3375</v>
      </c>
      <c r="F41" s="8" t="n">
        <f aca="false">E41/D41</f>
        <v>0.433658392434988</v>
      </c>
    </row>
    <row r="42" customFormat="false" ht="15" hidden="false" customHeight="false" outlineLevel="0" collapsed="false">
      <c r="A42" s="2" t="s">
        <v>59</v>
      </c>
      <c r="B42" s="7" t="n">
        <f aca="false">Carros!C112</f>
        <v>6.5</v>
      </c>
      <c r="C42" s="7" t="n">
        <f aca="false">Carros!D112</f>
        <v>4.5</v>
      </c>
      <c r="D42" s="7" t="n">
        <f aca="false">Carros!F112</f>
        <v>29.25</v>
      </c>
      <c r="E42" s="7" t="n">
        <f aca="false">SUM(Carros!F113:F118)</f>
        <v>11.5375</v>
      </c>
      <c r="F42" s="8" t="n">
        <f aca="false">E42/D42</f>
        <v>0.394444444444444</v>
      </c>
    </row>
    <row r="43" customFormat="false" ht="15" hidden="false" customHeight="false" outlineLevel="0" collapsed="false">
      <c r="A43" s="2" t="s">
        <v>60</v>
      </c>
      <c r="B43" s="7" t="n">
        <f aca="false">Carros!C120</f>
        <v>3.9</v>
      </c>
      <c r="C43" s="7" t="n">
        <f aca="false">Carros!D120</f>
        <v>5</v>
      </c>
      <c r="D43" s="7" t="n">
        <f aca="false">Carros!F120</f>
        <v>19.5</v>
      </c>
      <c r="E43" s="7" t="n">
        <f aca="false">SUM(Carros!F121:F123)</f>
        <v>4.12</v>
      </c>
      <c r="F43" s="8" t="n">
        <f aca="false">E43/D43</f>
        <v>0.211282051282051</v>
      </c>
    </row>
    <row r="44" customFormat="false" ht="15" hidden="false" customHeight="false" outlineLevel="0" collapsed="false">
      <c r="A44" s="9" t="s">
        <v>61</v>
      </c>
      <c r="D44" s="10" t="n">
        <f aca="false">SUM(D28:D43)</f>
        <v>408.06</v>
      </c>
      <c r="E44" s="10" t="n">
        <f aca="false">SUM(E28:E43)</f>
        <v>162.5013</v>
      </c>
      <c r="F44" s="11" t="n">
        <f aca="false">E44/D44</f>
        <v>0.398228936921041</v>
      </c>
    </row>
    <row r="46" customFormat="false" ht="15" hidden="false" customHeight="false" outlineLevel="0" collapsed="false">
      <c r="A46" s="6" t="s">
        <v>62</v>
      </c>
      <c r="B46" s="6"/>
      <c r="C46" s="6"/>
      <c r="D46" s="6"/>
      <c r="E46" s="6"/>
      <c r="F46" s="6"/>
    </row>
    <row r="47" customFormat="false" ht="15" hidden="false" customHeight="false" outlineLevel="0" collapsed="false">
      <c r="A47" s="2" t="s">
        <v>63</v>
      </c>
      <c r="B47" s="7" t="n">
        <f aca="false">Recargas!C5</f>
        <v>3.2</v>
      </c>
      <c r="C47" s="7" t="n">
        <f aca="false">Recargas!D5</f>
        <v>1.8</v>
      </c>
      <c r="D47" s="7" t="n">
        <f aca="false">Recargas!F5</f>
        <v>5.76</v>
      </c>
      <c r="E47" s="7" t="n">
        <f aca="false">SUM(Recargas!F6:F8)</f>
        <v>1.4875</v>
      </c>
      <c r="F47" s="8" t="n">
        <f aca="false">E47/D47</f>
        <v>0.258246527777778</v>
      </c>
    </row>
    <row r="48" customFormat="false" ht="15" hidden="false" customHeight="false" outlineLevel="0" collapsed="false">
      <c r="A48" s="2" t="s">
        <v>64</v>
      </c>
      <c r="B48" s="7" t="n">
        <f aca="false">Recargas!C10</f>
        <v>3.2</v>
      </c>
      <c r="C48" s="7" t="n">
        <f aca="false">Recargas!D10</f>
        <v>1.7</v>
      </c>
      <c r="D48" s="7" t="n">
        <f aca="false">Recargas!F10</f>
        <v>5.44</v>
      </c>
      <c r="E48" s="7" t="n">
        <f aca="false">SUM(Recargas!F11:F15)</f>
        <v>1.34</v>
      </c>
      <c r="F48" s="8" t="n">
        <f aca="false">E48/D48</f>
        <v>0.246323529411765</v>
      </c>
    </row>
    <row r="49" customFormat="false" ht="15" hidden="false" customHeight="false" outlineLevel="0" collapsed="false">
      <c r="A49" s="2" t="s">
        <v>65</v>
      </c>
      <c r="B49" s="7" t="n">
        <f aca="false">Recargas!C17</f>
        <v>2</v>
      </c>
      <c r="C49" s="7" t="n">
        <f aca="false">Recargas!D17</f>
        <v>2.9</v>
      </c>
      <c r="D49" s="7" t="n">
        <f aca="false">Recargas!F17</f>
        <v>5.8</v>
      </c>
      <c r="E49" s="7" t="n">
        <f aca="false">SUM(Recargas!F18:F18)</f>
        <v>1.2075</v>
      </c>
      <c r="F49" s="8" t="n">
        <f aca="false">E49/D49</f>
        <v>0.208189655172414</v>
      </c>
    </row>
    <row r="50" customFormat="false" ht="15" hidden="false" customHeight="false" outlineLevel="0" collapsed="false">
      <c r="A50" s="2" t="s">
        <v>66</v>
      </c>
      <c r="B50" s="7" t="n">
        <f aca="false">Recargas!C20</f>
        <v>2</v>
      </c>
      <c r="C50" s="7" t="n">
        <f aca="false">Recargas!D20</f>
        <v>2</v>
      </c>
      <c r="D50" s="7" t="n">
        <f aca="false">Recargas!F20</f>
        <v>4</v>
      </c>
      <c r="E50" s="7" t="n">
        <f aca="false">SUM(Recargas!F21:F22)</f>
        <v>0.72</v>
      </c>
      <c r="F50" s="8" t="n">
        <f aca="false">E50/D50</f>
        <v>0.18</v>
      </c>
    </row>
    <row r="51" customFormat="false" ht="15" hidden="false" customHeight="false" outlineLevel="0" collapsed="false">
      <c r="A51" s="2" t="s">
        <v>67</v>
      </c>
      <c r="B51" s="7" t="n">
        <f aca="false">Recargas!C24</f>
        <v>2</v>
      </c>
      <c r="C51" s="7" t="n">
        <f aca="false">Recargas!D24</f>
        <v>1.95</v>
      </c>
      <c r="D51" s="7" t="n">
        <f aca="false">Recargas!F24</f>
        <v>3.9</v>
      </c>
      <c r="E51" s="7" t="n">
        <f aca="false">SUM(Recargas!F25:F25)</f>
        <v>1.54</v>
      </c>
      <c r="F51" s="8" t="n">
        <f aca="false">E51/D51</f>
        <v>0.394871794871795</v>
      </c>
    </row>
    <row r="52" customFormat="false" ht="15" hidden="false" customHeight="false" outlineLevel="0" collapsed="false">
      <c r="A52" s="2" t="s">
        <v>68</v>
      </c>
      <c r="B52" s="7" t="n">
        <f aca="false">Recargas!C27</f>
        <v>3.2</v>
      </c>
      <c r="C52" s="7" t="n">
        <f aca="false">Recargas!D27</f>
        <v>3.7</v>
      </c>
      <c r="D52" s="7" t="n">
        <f aca="false">Recargas!F27</f>
        <v>11.84</v>
      </c>
      <c r="E52" s="7" t="n">
        <f aca="false">SUM(Recargas!F28:F36)</f>
        <v>4.2636</v>
      </c>
      <c r="F52" s="8" t="n">
        <f aca="false">E52/D52</f>
        <v>0.360101351351351</v>
      </c>
    </row>
    <row r="53" customFormat="false" ht="15" hidden="false" customHeight="false" outlineLevel="0" collapsed="false">
      <c r="A53" s="2" t="s">
        <v>69</v>
      </c>
      <c r="B53" s="7" t="n">
        <f aca="false">Recargas!C38</f>
        <v>4</v>
      </c>
      <c r="C53" s="7" t="n">
        <f aca="false">Recargas!D38</f>
        <v>1.6</v>
      </c>
      <c r="D53" s="7" t="n">
        <f aca="false">Recargas!F38</f>
        <v>6.4</v>
      </c>
      <c r="E53" s="7" t="n">
        <f aca="false">SUM(Recargas!F39:F41)</f>
        <v>1.65</v>
      </c>
      <c r="F53" s="8" t="n">
        <f aca="false">E53/D53</f>
        <v>0.2578125</v>
      </c>
    </row>
    <row r="54" customFormat="false" ht="15" hidden="false" customHeight="false" outlineLevel="0" collapsed="false">
      <c r="A54" s="2" t="s">
        <v>70</v>
      </c>
      <c r="B54" s="7" t="n">
        <f aca="false">Recargas!C43</f>
        <v>3.2</v>
      </c>
      <c r="C54" s="7" t="n">
        <f aca="false">Recargas!D43</f>
        <v>1.8</v>
      </c>
      <c r="D54" s="7" t="n">
        <f aca="false">Recargas!F43</f>
        <v>5.76</v>
      </c>
      <c r="E54" s="7" t="n">
        <f aca="false">SUM(Recargas!F44:F46)</f>
        <v>1.22</v>
      </c>
      <c r="F54" s="8" t="n">
        <f aca="false">E54/D54</f>
        <v>0.211805555555556</v>
      </c>
    </row>
    <row r="55" customFormat="false" ht="15" hidden="false" customHeight="false" outlineLevel="0" collapsed="false">
      <c r="A55" s="2" t="s">
        <v>71</v>
      </c>
      <c r="B55" s="7" t="n">
        <f aca="false">Recargas!C48</f>
        <v>2</v>
      </c>
      <c r="C55" s="7" t="n">
        <f aca="false">Recargas!D48</f>
        <v>3.05</v>
      </c>
      <c r="D55" s="7" t="n">
        <f aca="false">Recargas!F48</f>
        <v>6.1</v>
      </c>
      <c r="E55" s="7" t="n">
        <f aca="false">SUM(Recargas!F49:F51)</f>
        <v>1.74</v>
      </c>
      <c r="F55" s="8" t="n">
        <f aca="false">E55/D55</f>
        <v>0.285245901639344</v>
      </c>
    </row>
    <row r="56" customFormat="false" ht="15" hidden="false" customHeight="false" outlineLevel="0" collapsed="false">
      <c r="A56" s="2" t="s">
        <v>72</v>
      </c>
      <c r="B56" s="7" t="n">
        <f aca="false">Recargas!C53</f>
        <v>3.2</v>
      </c>
      <c r="C56" s="7" t="n">
        <f aca="false">Recargas!D53</f>
        <v>1.8</v>
      </c>
      <c r="D56" s="7" t="n">
        <f aca="false">Recargas!F53</f>
        <v>5.76</v>
      </c>
      <c r="E56" s="7" t="n">
        <f aca="false">SUM(Recargas!F54:F56)</f>
        <v>1.6125</v>
      </c>
      <c r="F56" s="8" t="n">
        <f aca="false">E56/D56</f>
        <v>0.279947916666667</v>
      </c>
    </row>
    <row r="57" customFormat="false" ht="15" hidden="false" customHeight="false" outlineLevel="0" collapsed="false">
      <c r="A57" s="2" t="s">
        <v>73</v>
      </c>
      <c r="B57" s="7" t="n">
        <f aca="false">Recargas!C58</f>
        <v>3.2</v>
      </c>
      <c r="C57" s="7" t="n">
        <f aca="false">Recargas!D58</f>
        <v>3.6</v>
      </c>
      <c r="D57" s="7" t="n">
        <f aca="false">Recargas!F58</f>
        <v>11.52</v>
      </c>
      <c r="E57" s="7" t="n">
        <f aca="false">SUM(Recargas!F59:F64)</f>
        <v>5.7</v>
      </c>
      <c r="F57" s="8" t="n">
        <f aca="false">E57/D57</f>
        <v>0.494791666666667</v>
      </c>
    </row>
    <row r="58" customFormat="false" ht="15" hidden="false" customHeight="false" outlineLevel="0" collapsed="false">
      <c r="A58" s="2" t="s">
        <v>74</v>
      </c>
      <c r="B58" s="7" t="n">
        <f aca="false">Recargas!C66</f>
        <v>4</v>
      </c>
      <c r="C58" s="7" t="n">
        <f aca="false">Recargas!D66</f>
        <v>2.9</v>
      </c>
      <c r="D58" s="7" t="n">
        <f aca="false">Recargas!F66</f>
        <v>11.6</v>
      </c>
      <c r="E58" s="7" t="n">
        <f aca="false">SUM(Recargas!F67:F71)</f>
        <v>2.0076</v>
      </c>
      <c r="F58" s="8" t="n">
        <f aca="false">E58/D58</f>
        <v>0.173068965517241</v>
      </c>
    </row>
    <row r="59" customFormat="false" ht="15" hidden="false" customHeight="false" outlineLevel="0" collapsed="false">
      <c r="A59" s="2" t="s">
        <v>75</v>
      </c>
      <c r="B59" s="7" t="n">
        <f aca="false">Recargas!C73</f>
        <v>4</v>
      </c>
      <c r="C59" s="7" t="n">
        <f aca="false">Recargas!D73</f>
        <v>1.6</v>
      </c>
      <c r="D59" s="7" t="n">
        <f aca="false">Recargas!F73</f>
        <v>6.4</v>
      </c>
      <c r="E59" s="7" t="n">
        <f aca="false">SUM(Recargas!F74:F77)</f>
        <v>1.71</v>
      </c>
      <c r="F59" s="8" t="n">
        <f aca="false">E59/D59</f>
        <v>0.2671875</v>
      </c>
    </row>
    <row r="60" customFormat="false" ht="15" hidden="false" customHeight="false" outlineLevel="0" collapsed="false">
      <c r="A60" s="2" t="s">
        <v>76</v>
      </c>
      <c r="B60" s="7" t="n">
        <f aca="false">Recargas!C79</f>
        <v>2</v>
      </c>
      <c r="C60" s="7" t="n">
        <f aca="false">Recargas!D79</f>
        <v>3.05</v>
      </c>
      <c r="D60" s="7" t="n">
        <f aca="false">Recargas!F79</f>
        <v>6.1</v>
      </c>
      <c r="E60" s="7" t="n">
        <f aca="false">SUM(Recargas!F80:F82)</f>
        <v>0.5832</v>
      </c>
      <c r="F60" s="8" t="n">
        <f aca="false">E60/D60</f>
        <v>0.0956065573770492</v>
      </c>
    </row>
    <row r="61" customFormat="false" ht="15" hidden="false" customHeight="false" outlineLevel="0" collapsed="false">
      <c r="A61" s="2" t="s">
        <v>77</v>
      </c>
      <c r="B61" s="7" t="n">
        <f aca="false">Recargas!C84</f>
        <v>2</v>
      </c>
      <c r="C61" s="7" t="n">
        <f aca="false">Recargas!D84</f>
        <v>3.35</v>
      </c>
      <c r="D61" s="7" t="n">
        <f aca="false">Recargas!F84</f>
        <v>6.7</v>
      </c>
      <c r="E61" s="7" t="n">
        <f aca="false">SUM(Recargas!F85:F89)</f>
        <v>2.045</v>
      </c>
      <c r="F61" s="8" t="n">
        <f aca="false">E61/D61</f>
        <v>0.305223880597015</v>
      </c>
    </row>
    <row r="62" customFormat="false" ht="15" hidden="false" customHeight="false" outlineLevel="0" collapsed="false">
      <c r="A62" s="2" t="s">
        <v>78</v>
      </c>
      <c r="B62" s="7" t="n">
        <f aca="false">Recargas!C91</f>
        <v>2</v>
      </c>
      <c r="C62" s="7" t="n">
        <f aca="false">Recargas!D91</f>
        <v>2.25</v>
      </c>
      <c r="D62" s="7" t="n">
        <f aca="false">Recargas!F91</f>
        <v>4.5</v>
      </c>
      <c r="E62" s="7" t="n">
        <f aca="false">SUM(Recargas!F92:F97)</f>
        <v>1.6375</v>
      </c>
      <c r="F62" s="8" t="n">
        <f aca="false">E62/D62</f>
        <v>0.363888888888889</v>
      </c>
    </row>
    <row r="63" customFormat="false" ht="15" hidden="false" customHeight="false" outlineLevel="0" collapsed="false">
      <c r="A63" s="2" t="s">
        <v>79</v>
      </c>
      <c r="B63" s="7" t="n">
        <f aca="false">Recargas!C99</f>
        <v>2</v>
      </c>
      <c r="C63" s="7" t="n">
        <f aca="false">Recargas!D99</f>
        <v>2.55</v>
      </c>
      <c r="D63" s="7" t="n">
        <f aca="false">Recargas!F99</f>
        <v>5.1</v>
      </c>
      <c r="E63" s="7" t="n">
        <f aca="false">SUM(Recargas!F100:F101)</f>
        <v>1.445</v>
      </c>
      <c r="F63" s="8" t="n">
        <f aca="false">E63/D63</f>
        <v>0.283333333333333</v>
      </c>
    </row>
    <row r="64" customFormat="false" ht="15" hidden="false" customHeight="false" outlineLevel="0" collapsed="false">
      <c r="A64" s="2" t="s">
        <v>80</v>
      </c>
      <c r="B64" s="7" t="n">
        <f aca="false">Recargas!C103</f>
        <v>2</v>
      </c>
      <c r="C64" s="7" t="n">
        <f aca="false">Recargas!D103</f>
        <v>1.6</v>
      </c>
      <c r="D64" s="7" t="n">
        <f aca="false">Recargas!F103</f>
        <v>3.2</v>
      </c>
      <c r="E64" s="7" t="n">
        <f aca="false">SUM(Recargas!F104:F105)</f>
        <v>0.795</v>
      </c>
      <c r="F64" s="8" t="n">
        <f aca="false">E64/D64</f>
        <v>0.2484375</v>
      </c>
    </row>
    <row r="65" customFormat="false" ht="15" hidden="false" customHeight="false" outlineLevel="0" collapsed="false">
      <c r="A65" s="2" t="s">
        <v>81</v>
      </c>
      <c r="B65" s="7" t="n">
        <f aca="false">Recargas!C107</f>
        <v>4</v>
      </c>
      <c r="C65" s="7" t="n">
        <f aca="false">Recargas!D107</f>
        <v>1.8</v>
      </c>
      <c r="D65" s="7" t="n">
        <f aca="false">Recargas!F107</f>
        <v>7.2</v>
      </c>
      <c r="E65" s="7" t="n">
        <f aca="false">SUM(Recargas!F108:F111)</f>
        <v>1.215</v>
      </c>
      <c r="F65" s="8" t="n">
        <f aca="false">E65/D65</f>
        <v>0.16875</v>
      </c>
    </row>
    <row r="66" customFormat="false" ht="15" hidden="false" customHeight="false" outlineLevel="0" collapsed="false">
      <c r="A66" s="2" t="s">
        <v>82</v>
      </c>
      <c r="B66" s="7" t="n">
        <f aca="false">Recargas!C113</f>
        <v>4</v>
      </c>
      <c r="C66" s="7" t="n">
        <f aca="false">Recargas!D113</f>
        <v>2.7</v>
      </c>
      <c r="D66" s="7" t="n">
        <f aca="false">Recargas!F113</f>
        <v>10.8</v>
      </c>
      <c r="E66" s="7" t="n">
        <f aca="false">SUM(Recargas!F114:F117)</f>
        <v>3.005</v>
      </c>
      <c r="F66" s="8" t="n">
        <f aca="false">E66/D66</f>
        <v>0.278240740740741</v>
      </c>
    </row>
    <row r="67" customFormat="false" ht="15" hidden="false" customHeight="false" outlineLevel="0" collapsed="false">
      <c r="A67" s="2" t="s">
        <v>83</v>
      </c>
      <c r="B67" s="7" t="n">
        <f aca="false">Recargas!C119</f>
        <v>4</v>
      </c>
      <c r="C67" s="7" t="n">
        <f aca="false">Recargas!D119</f>
        <v>1.8</v>
      </c>
      <c r="D67" s="7" t="n">
        <f aca="false">Recargas!F119</f>
        <v>7.2</v>
      </c>
      <c r="E67" s="7" t="n">
        <f aca="false">SUM(Recargas!F120:F122)</f>
        <v>1.8525</v>
      </c>
      <c r="F67" s="8" t="n">
        <f aca="false">E67/D67</f>
        <v>0.257291666666667</v>
      </c>
    </row>
    <row r="68" customFormat="false" ht="15" hidden="false" customHeight="false" outlineLevel="0" collapsed="false">
      <c r="A68" s="2" t="s">
        <v>84</v>
      </c>
      <c r="B68" s="7" t="n">
        <f aca="false">Recargas!C124</f>
        <v>3.2</v>
      </c>
      <c r="C68" s="7" t="n">
        <f aca="false">Recargas!D124</f>
        <v>2.5</v>
      </c>
      <c r="D68" s="7" t="n">
        <f aca="false">Recargas!F124</f>
        <v>8</v>
      </c>
      <c r="E68" s="7" t="n">
        <f aca="false">SUM(Recargas!F125:F129)</f>
        <v>1.415</v>
      </c>
      <c r="F68" s="8" t="n">
        <f aca="false">E68/D68</f>
        <v>0.176875</v>
      </c>
    </row>
    <row r="69" customFormat="false" ht="15" hidden="false" customHeight="false" outlineLevel="0" collapsed="false">
      <c r="A69" s="2" t="s">
        <v>85</v>
      </c>
      <c r="B69" s="7" t="n">
        <f aca="false">Recargas!C131</f>
        <v>4</v>
      </c>
      <c r="C69" s="7" t="n">
        <f aca="false">Recargas!D131</f>
        <v>4.5</v>
      </c>
      <c r="D69" s="7" t="n">
        <f aca="false">Recargas!F131</f>
        <v>16.72</v>
      </c>
      <c r="E69" s="7" t="n">
        <f aca="false">SUM(Recargas!F132:F133)</f>
        <v>1.5</v>
      </c>
      <c r="F69" s="8" t="n">
        <f aca="false">E69/D69</f>
        <v>0.0897129186602871</v>
      </c>
    </row>
    <row r="70" customFormat="false" ht="15" hidden="false" customHeight="false" outlineLevel="0" collapsed="false">
      <c r="A70" s="2" t="s">
        <v>86</v>
      </c>
      <c r="B70" s="7" t="n">
        <f aca="false">Recargas!C135</f>
        <v>2</v>
      </c>
      <c r="C70" s="7" t="n">
        <f aca="false">Recargas!D135</f>
        <v>0.95</v>
      </c>
      <c r="D70" s="7" t="n">
        <f aca="false">Recargas!F135</f>
        <v>1.9</v>
      </c>
      <c r="E70" s="7" t="n">
        <f aca="false">SUM(Recargas!F136:F137)</f>
        <v>0.9075</v>
      </c>
      <c r="F70" s="8" t="n">
        <f aca="false">E70/D70</f>
        <v>0.477631578947368</v>
      </c>
    </row>
    <row r="71" customFormat="false" ht="15" hidden="false" customHeight="false" outlineLevel="0" collapsed="false">
      <c r="A71" s="2" t="s">
        <v>87</v>
      </c>
      <c r="B71" s="7" t="n">
        <f aca="false">Recargas!C139</f>
        <v>2</v>
      </c>
      <c r="C71" s="7" t="n">
        <f aca="false">Recargas!D139</f>
        <v>2.2</v>
      </c>
      <c r="D71" s="7" t="n">
        <f aca="false">Recargas!F139</f>
        <v>4.4</v>
      </c>
      <c r="E71" s="7" t="n">
        <f aca="false">SUM(Recargas!F140:F141)</f>
        <v>1.68</v>
      </c>
      <c r="F71" s="8" t="n">
        <f aca="false">E71/D71</f>
        <v>0.381818181818182</v>
      </c>
    </row>
    <row r="72" customFormat="false" ht="15" hidden="false" customHeight="false" outlineLevel="0" collapsed="false">
      <c r="A72" s="2" t="s">
        <v>88</v>
      </c>
      <c r="B72" s="7" t="n">
        <f aca="false">Recargas!C143</f>
        <v>2</v>
      </c>
      <c r="C72" s="7" t="n">
        <f aca="false">Recargas!D143</f>
        <v>1.95</v>
      </c>
      <c r="D72" s="7" t="n">
        <f aca="false">Recargas!F143</f>
        <v>3.9</v>
      </c>
      <c r="E72" s="7" t="n">
        <f aca="false">SUM(Recargas!F144:F144)</f>
        <v>1.0925</v>
      </c>
      <c r="F72" s="8" t="n">
        <f aca="false">E72/D72</f>
        <v>0.280128205128205</v>
      </c>
    </row>
    <row r="73" customFormat="false" ht="15" hidden="false" customHeight="false" outlineLevel="0" collapsed="false">
      <c r="A73" s="2" t="s">
        <v>89</v>
      </c>
      <c r="B73" s="7" t="n">
        <f aca="false">Recargas!C146</f>
        <v>8.5</v>
      </c>
      <c r="C73" s="7" t="n">
        <f aca="false">Recargas!D146</f>
        <v>2.5</v>
      </c>
      <c r="D73" s="7" t="n">
        <f aca="false">Recargas!F146</f>
        <v>21.25</v>
      </c>
      <c r="E73" s="7" t="n">
        <f aca="false">SUM(Recargas!F147:F147)</f>
        <v>20.04</v>
      </c>
      <c r="F73" s="8" t="n">
        <f aca="false">E73/D73</f>
        <v>0.943058823529412</v>
      </c>
    </row>
    <row r="74" customFormat="false" ht="15" hidden="false" customHeight="false" outlineLevel="0" collapsed="false">
      <c r="A74" s="2" t="s">
        <v>90</v>
      </c>
      <c r="B74" s="7" t="n">
        <f aca="false">Recargas!C149</f>
        <v>8.5</v>
      </c>
      <c r="C74" s="7" t="n">
        <f aca="false">Recargas!D149</f>
        <v>2.5</v>
      </c>
      <c r="D74" s="7" t="n">
        <f aca="false">Recargas!F149</f>
        <v>21.25</v>
      </c>
      <c r="E74" s="7" t="n">
        <f aca="false">SUM(Recargas!F150:F150)</f>
        <v>20.04</v>
      </c>
      <c r="F74" s="8" t="n">
        <f aca="false">E74/D74</f>
        <v>0.943058823529412</v>
      </c>
    </row>
    <row r="75" customFormat="false" ht="15" hidden="false" customHeight="false" outlineLevel="0" collapsed="false">
      <c r="A75" s="2" t="s">
        <v>91</v>
      </c>
      <c r="B75" s="7" t="n">
        <f aca="false">Recargas!C152</f>
        <v>1.1</v>
      </c>
      <c r="C75" s="7" t="n">
        <f aca="false">Recargas!D152</f>
        <v>2.5</v>
      </c>
      <c r="D75" s="7" t="n">
        <f aca="false">Recargas!F152</f>
        <v>2.75</v>
      </c>
      <c r="E75" s="7" t="n">
        <f aca="false">SUM(Recargas!F153:F153)</f>
        <v>2.4</v>
      </c>
      <c r="F75" s="8" t="n">
        <f aca="false">E75/D75</f>
        <v>0.872727272727273</v>
      </c>
    </row>
    <row r="76" customFormat="false" ht="15" hidden="false" customHeight="false" outlineLevel="0" collapsed="false">
      <c r="A76" s="2" t="s">
        <v>92</v>
      </c>
      <c r="B76" s="7" t="n">
        <f aca="false">Recargas!C155</f>
        <v>1.5</v>
      </c>
      <c r="C76" s="7" t="n">
        <f aca="false">Recargas!D155</f>
        <v>2.5</v>
      </c>
      <c r="D76" s="7" t="n">
        <f aca="false">Recargas!F155</f>
        <v>3.75</v>
      </c>
      <c r="E76" s="7" t="n">
        <f aca="false">SUM(Recargas!F156:F158)</f>
        <v>2.7685</v>
      </c>
      <c r="F76" s="8" t="n">
        <f aca="false">E76/D76</f>
        <v>0.738266666666667</v>
      </c>
    </row>
    <row r="77" customFormat="false" ht="15" hidden="false" customHeight="false" outlineLevel="0" collapsed="false">
      <c r="A77" s="9" t="s">
        <v>93</v>
      </c>
      <c r="D77" s="10" t="n">
        <f aca="false">SUM(D47:D76)</f>
        <v>225</v>
      </c>
      <c r="E77" s="10" t="n">
        <f aca="false">SUM(E47:E76)</f>
        <v>90.6204</v>
      </c>
      <c r="F77" s="11" t="n">
        <f aca="false">E77/D77</f>
        <v>0.402757333333333</v>
      </c>
    </row>
    <row r="79" customFormat="false" ht="15" hidden="false" customHeight="false" outlineLevel="0" collapsed="false">
      <c r="A79" s="6" t="s">
        <v>94</v>
      </c>
      <c r="B79" s="6"/>
      <c r="C79" s="6"/>
      <c r="D79" s="6"/>
      <c r="E79" s="6"/>
      <c r="F79" s="6"/>
    </row>
    <row r="80" customFormat="false" ht="15" hidden="false" customHeight="false" outlineLevel="0" collapsed="false">
      <c r="A80" s="2" t="s">
        <v>95</v>
      </c>
      <c r="B80" s="7" t="n">
        <f aca="false">Compartidos!D5</f>
        <v>7</v>
      </c>
      <c r="C80" s="7" t="n">
        <f aca="false">Compartidos!E5</f>
        <v>10</v>
      </c>
      <c r="D80" s="7" t="n">
        <f aca="false">Compartidos!G5</f>
        <v>50.62</v>
      </c>
      <c r="E80" s="7" t="n">
        <f aca="false">SUM(Compartidos!G6:G17)</f>
        <v>30.6354</v>
      </c>
      <c r="F80" s="8" t="n">
        <f aca="false">E80/D80</f>
        <v>0.605203476886606</v>
      </c>
    </row>
    <row r="81" customFormat="false" ht="23.85" hidden="false" customHeight="false" outlineLevel="0" collapsed="false">
      <c r="A81" s="2" t="s">
        <v>96</v>
      </c>
      <c r="B81" s="7" t="n">
        <f aca="false">Compartidos!D19</f>
        <v>3.7</v>
      </c>
      <c r="C81" s="7" t="n">
        <f aca="false">Compartidos!E19</f>
        <v>4.45</v>
      </c>
      <c r="D81" s="7" t="n">
        <f aca="false">Compartidos!G19</f>
        <v>16.465</v>
      </c>
      <c r="E81" s="7" t="n">
        <f aca="false">SUM(Compartidos!G20:G24)</f>
        <v>5.2962</v>
      </c>
      <c r="F81" s="8" t="n">
        <f aca="false">E81/D81</f>
        <v>0.321664136046159</v>
      </c>
    </row>
    <row r="82" customFormat="false" ht="15" hidden="false" customHeight="false" outlineLevel="0" collapsed="false">
      <c r="A82" s="2" t="s">
        <v>97</v>
      </c>
      <c r="B82" s="7" t="n">
        <f aca="false">Compartidos!D26</f>
        <v>3.4</v>
      </c>
      <c r="C82" s="7" t="n">
        <f aca="false">Compartidos!E26</f>
        <v>3.5</v>
      </c>
      <c r="D82" s="7" t="n">
        <f aca="false">Compartidos!G26</f>
        <v>11.9</v>
      </c>
      <c r="E82" s="7" t="n">
        <f aca="false">SUM(Compartidos!G27:G29)</f>
        <v>2.35</v>
      </c>
      <c r="F82" s="8" t="n">
        <f aca="false">E82/D82</f>
        <v>0.197478991596639</v>
      </c>
    </row>
    <row r="83" customFormat="false" ht="15" hidden="false" customHeight="false" outlineLevel="0" collapsed="false">
      <c r="A83" s="2" t="s">
        <v>98</v>
      </c>
      <c r="B83" s="7" t="n">
        <f aca="false">Compartidos!D31</f>
        <v>10.2</v>
      </c>
      <c r="C83" s="7" t="n">
        <f aca="false">Compartidos!E31</f>
        <v>5.95</v>
      </c>
      <c r="D83" s="7" t="n">
        <f aca="false">Compartidos!G31</f>
        <v>60.69</v>
      </c>
      <c r="E83" s="7" t="n">
        <f aca="false">SUM(Compartidos!G32:G51)</f>
        <v>28.178</v>
      </c>
      <c r="F83" s="8" t="n">
        <f aca="false">E83/D83</f>
        <v>0.464293952875268</v>
      </c>
    </row>
    <row r="84" customFormat="false" ht="23.85" hidden="false" customHeight="false" outlineLevel="0" collapsed="false">
      <c r="A84" s="2" t="s">
        <v>99</v>
      </c>
      <c r="B84" s="7" t="n">
        <f aca="false">Compartidos!D53</f>
        <v>9.4</v>
      </c>
      <c r="C84" s="7" t="n">
        <f aca="false">Compartidos!E53</f>
        <v>2</v>
      </c>
      <c r="D84" s="7" t="n">
        <f aca="false">Compartidos!G53</f>
        <v>18.8</v>
      </c>
      <c r="E84" s="7" t="n">
        <f aca="false">SUM(Compartidos!G54:G56)</f>
        <v>10.4425</v>
      </c>
      <c r="F84" s="8" t="n">
        <f aca="false">E84/D84</f>
        <v>0.555452127659575</v>
      </c>
    </row>
    <row r="85" customFormat="false" ht="15" hidden="false" customHeight="false" outlineLevel="0" collapsed="false">
      <c r="A85" s="9" t="s">
        <v>100</v>
      </c>
      <c r="D85" s="10" t="n">
        <f aca="false">SUM(D80:D84)</f>
        <v>158.475</v>
      </c>
      <c r="E85" s="10" t="n">
        <f aca="false">SUM(E80:E84)</f>
        <v>76.9021</v>
      </c>
      <c r="F85" s="11" t="n">
        <f aca="false">E85/D85</f>
        <v>0.485263290739864</v>
      </c>
    </row>
    <row r="87" customFormat="false" ht="15" hidden="false" customHeight="false" outlineLevel="0" collapsed="false">
      <c r="A87" s="6" t="s">
        <v>101</v>
      </c>
      <c r="B87" s="6"/>
      <c r="C87" s="6"/>
      <c r="D87" s="12" t="n">
        <f aca="false">D25+D44+D77+D85</f>
        <v>1263.805</v>
      </c>
      <c r="E87" s="12" t="n">
        <f aca="false">E25+E44+E77+E85</f>
        <v>545.3513</v>
      </c>
      <c r="F87" s="13" t="n">
        <f aca="false">E87/D87</f>
        <v>0.431515384098022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 min="2" style="0" width="14"/>
    <col collapsed="false" customWidth="true" hidden="false" outlineLevel="0" max="3" min="3" style="0" width="6"/>
    <col collapsed="false" customWidth="true" hidden="false" outlineLevel="0" max="6" min="4" style="0" width="9"/>
    <col collapsed="false" customWidth="true" hidden="false" outlineLevel="0" max="7" min="7" style="0" width="10"/>
    <col collapsed="false" customWidth="true" hidden="false" outlineLevel="0" max="8" min="8" style="0" width="22"/>
    <col collapsed="false" customWidth="true" hidden="false" outlineLevel="0" max="9" min="9" style="0" width="40"/>
    <col collapsed="false" customWidth="true" hidden="false" outlineLevel="0" max="10" min="10" style="0" width="16"/>
    <col collapsed="false" customWidth="true" hidden="false" outlineLevel="0" max="11" min="11" style="0" width="40"/>
  </cols>
  <sheetData>
    <row r="1" customFormat="false" ht="16.15" hidden="false" customHeight="false" outlineLevel="0" collapsed="false">
      <c r="A1" s="4" t="s">
        <v>102</v>
      </c>
    </row>
    <row r="2" customFormat="false" ht="15" hidden="false" customHeight="false" outlineLevel="0" collapsed="false">
      <c r="A2" s="14" t="s">
        <v>103</v>
      </c>
    </row>
    <row r="4" customFormat="false" ht="15" hidden="false" customHeight="false" outlineLevel="0" collapsed="false">
      <c r="A4" s="5" t="s">
        <v>104</v>
      </c>
      <c r="B4" s="5" t="s">
        <v>105</v>
      </c>
      <c r="C4" s="5" t="s">
        <v>106</v>
      </c>
      <c r="D4" s="5" t="s">
        <v>17</v>
      </c>
      <c r="E4" s="5" t="s">
        <v>18</v>
      </c>
      <c r="F4" s="5" t="s">
        <v>107</v>
      </c>
      <c r="G4" s="5" t="s">
        <v>108</v>
      </c>
      <c r="H4" s="5" t="s">
        <v>109</v>
      </c>
      <c r="I4" s="5" t="s">
        <v>110</v>
      </c>
      <c r="J4" s="5" t="s">
        <v>11</v>
      </c>
      <c r="K4" s="5" t="s">
        <v>111</v>
      </c>
    </row>
    <row r="5" customFormat="false" ht="15" hidden="false" customHeight="false" outlineLevel="0" collapsed="false">
      <c r="A5" s="6" t="s">
        <v>95</v>
      </c>
      <c r="B5" s="6"/>
      <c r="C5" s="6"/>
      <c r="D5" s="12" t="n">
        <v>7</v>
      </c>
      <c r="E5" s="12" t="n">
        <v>10</v>
      </c>
      <c r="F5" s="6"/>
      <c r="G5" s="12" t="n">
        <v>50.62</v>
      </c>
      <c r="H5" s="6"/>
      <c r="I5" s="6" t="str">
        <f aca="false">"Los equipos ocupan "&amp;TEXT(SUM(G6:G17),"0.0")&amp;" m² ("&amp;TEXT(SUM(G6:G17)/G5,"0%")&amp;")"</f>
        <v>Los equipos ocupan 30.6 m² (61%)</v>
      </c>
      <c r="J5" s="6" t="s">
        <v>112</v>
      </c>
      <c r="K5" s="6"/>
    </row>
    <row r="6" customFormat="false" ht="15" hidden="false" customHeight="false" outlineLevel="0" collapsed="false">
      <c r="A6" s="15" t="s">
        <v>113</v>
      </c>
      <c r="B6" s="15"/>
      <c r="C6" s="15"/>
      <c r="D6" s="15"/>
      <c r="E6" s="15"/>
      <c r="F6" s="15"/>
      <c r="G6" s="15"/>
      <c r="H6" s="15"/>
      <c r="I6" s="15"/>
      <c r="J6" s="15" t="s">
        <v>114</v>
      </c>
      <c r="K6" s="15"/>
    </row>
    <row r="7" customFormat="false" ht="23.85" hidden="false" customHeight="false" outlineLevel="0" collapsed="false">
      <c r="A7" s="2" t="s">
        <v>115</v>
      </c>
      <c r="B7" s="2" t="s">
        <v>116</v>
      </c>
      <c r="C7" s="2" t="n">
        <v>1</v>
      </c>
      <c r="D7" s="7" t="n">
        <v>3.4</v>
      </c>
      <c r="E7" s="7" t="n">
        <v>1.9</v>
      </c>
      <c r="F7" s="7" t="n">
        <v>1.55</v>
      </c>
      <c r="G7" s="7" t="n">
        <f aca="false">D7*E7</f>
        <v>6.46</v>
      </c>
      <c r="H7" s="2" t="s">
        <v>117</v>
      </c>
      <c r="I7" s="2" t="s">
        <v>118</v>
      </c>
      <c r="J7" s="2" t="s">
        <v>119</v>
      </c>
      <c r="K7" s="16" t="s">
        <v>120</v>
      </c>
    </row>
    <row r="8" customFormat="false" ht="15" hidden="false" customHeight="false" outlineLevel="0" collapsed="false">
      <c r="A8" s="2" t="s">
        <v>121</v>
      </c>
      <c r="B8" s="2" t="s">
        <v>116</v>
      </c>
      <c r="C8" s="2" t="n">
        <v>1</v>
      </c>
      <c r="D8" s="7" t="n">
        <v>3.4</v>
      </c>
      <c r="E8" s="7" t="n">
        <v>1</v>
      </c>
      <c r="F8" s="2" t="s">
        <v>122</v>
      </c>
      <c r="G8" s="7" t="n">
        <f aca="false">D8*E8</f>
        <v>3.4</v>
      </c>
      <c r="H8" s="2" t="s">
        <v>123</v>
      </c>
      <c r="I8" s="2" t="s">
        <v>124</v>
      </c>
      <c r="J8" s="2" t="s">
        <v>112</v>
      </c>
      <c r="K8" s="16"/>
    </row>
    <row r="9" customFormat="false" ht="15" hidden="false" customHeight="false" outlineLevel="0" collapsed="false">
      <c r="A9" s="2" t="s">
        <v>125</v>
      </c>
      <c r="B9" s="2" t="s">
        <v>116</v>
      </c>
      <c r="C9" s="2" t="n">
        <v>1</v>
      </c>
      <c r="D9" s="7" t="n">
        <v>1.8</v>
      </c>
      <c r="E9" s="7" t="n">
        <v>1</v>
      </c>
      <c r="F9" s="16" t="s">
        <v>126</v>
      </c>
      <c r="G9" s="7" t="n">
        <f aca="false">D9*E9</f>
        <v>1.8</v>
      </c>
      <c r="H9" s="2" t="s">
        <v>127</v>
      </c>
      <c r="I9" s="2" t="s">
        <v>128</v>
      </c>
      <c r="J9" s="2" t="s">
        <v>112</v>
      </c>
      <c r="K9" s="16" t="s">
        <v>129</v>
      </c>
    </row>
    <row r="10" customFormat="false" ht="23.85" hidden="false" customHeight="false" outlineLevel="0" collapsed="false">
      <c r="A10" s="2" t="s">
        <v>130</v>
      </c>
      <c r="B10" s="2" t="s">
        <v>116</v>
      </c>
      <c r="C10" s="2" t="n">
        <v>1</v>
      </c>
      <c r="D10" s="7" t="n">
        <v>1.8</v>
      </c>
      <c r="E10" s="7" t="n">
        <v>2.6</v>
      </c>
      <c r="F10" s="16" t="s">
        <v>126</v>
      </c>
      <c r="G10" s="7" t="n">
        <f aca="false">D10*E10</f>
        <v>4.68</v>
      </c>
      <c r="H10" s="2" t="s">
        <v>131</v>
      </c>
      <c r="I10" s="2" t="s">
        <v>132</v>
      </c>
      <c r="J10" s="2" t="s">
        <v>112</v>
      </c>
      <c r="K10" s="16" t="s">
        <v>133</v>
      </c>
    </row>
    <row r="11" customFormat="false" ht="15" hidden="false" customHeight="false" outlineLevel="0" collapsed="false">
      <c r="A11" s="15" t="s">
        <v>134</v>
      </c>
      <c r="B11" s="15"/>
      <c r="C11" s="15"/>
      <c r="D11" s="15"/>
      <c r="E11" s="15"/>
      <c r="F11" s="15"/>
      <c r="G11" s="15"/>
      <c r="H11" s="15"/>
      <c r="I11" s="15"/>
      <c r="J11" s="15" t="s">
        <v>114</v>
      </c>
      <c r="K11" s="15"/>
    </row>
    <row r="12" customFormat="false" ht="23.85" hidden="false" customHeight="false" outlineLevel="0" collapsed="false">
      <c r="A12" s="2" t="s">
        <v>135</v>
      </c>
      <c r="B12" s="2" t="s">
        <v>116</v>
      </c>
      <c r="C12" s="2" t="n">
        <v>1</v>
      </c>
      <c r="D12" s="7" t="n">
        <v>1.61</v>
      </c>
      <c r="E12" s="7" t="n">
        <v>3.04</v>
      </c>
      <c r="F12" s="7" t="n">
        <v>1.6</v>
      </c>
      <c r="G12" s="7" t="n">
        <f aca="false">D12*E12</f>
        <v>4.8944</v>
      </c>
      <c r="H12" s="2" t="s">
        <v>136</v>
      </c>
      <c r="I12" s="2" t="s">
        <v>137</v>
      </c>
      <c r="J12" s="2" t="s">
        <v>119</v>
      </c>
      <c r="K12" s="16" t="s">
        <v>138</v>
      </c>
    </row>
    <row r="13" customFormat="false" ht="15" hidden="false" customHeight="false" outlineLevel="0" collapsed="false">
      <c r="A13" s="2" t="s">
        <v>139</v>
      </c>
      <c r="B13" s="2" t="s">
        <v>116</v>
      </c>
      <c r="C13" s="2" t="n">
        <v>1</v>
      </c>
      <c r="D13" s="7" t="n">
        <v>0.8</v>
      </c>
      <c r="E13" s="7" t="n">
        <v>3.04</v>
      </c>
      <c r="F13" s="2" t="s">
        <v>122</v>
      </c>
      <c r="G13" s="7" t="n">
        <f aca="false">D13*E13</f>
        <v>2.432</v>
      </c>
      <c r="H13" s="2" t="s">
        <v>140</v>
      </c>
      <c r="I13" s="2" t="s">
        <v>141</v>
      </c>
      <c r="J13" s="2" t="s">
        <v>112</v>
      </c>
      <c r="K13" s="16"/>
    </row>
    <row r="14" customFormat="false" ht="23.85" hidden="false" customHeight="false" outlineLevel="0" collapsed="false">
      <c r="A14" s="2" t="s">
        <v>142</v>
      </c>
      <c r="B14" s="2" t="s">
        <v>116</v>
      </c>
      <c r="C14" s="2" t="n">
        <v>1</v>
      </c>
      <c r="D14" s="7" t="n">
        <v>2.6</v>
      </c>
      <c r="E14" s="7" t="n">
        <v>1.8</v>
      </c>
      <c r="F14" s="16" t="s">
        <v>126</v>
      </c>
      <c r="G14" s="7" t="n">
        <f aca="false">D14*E14</f>
        <v>4.68</v>
      </c>
      <c r="H14" s="2" t="s">
        <v>143</v>
      </c>
      <c r="I14" s="2" t="s">
        <v>144</v>
      </c>
      <c r="J14" s="2" t="s">
        <v>145</v>
      </c>
      <c r="K14" s="16" t="s">
        <v>146</v>
      </c>
    </row>
    <row r="15" customFormat="false" ht="23.85" hidden="false" customHeight="false" outlineLevel="0" collapsed="false">
      <c r="A15" s="2" t="s">
        <v>147</v>
      </c>
      <c r="B15" s="2" t="s">
        <v>148</v>
      </c>
      <c r="C15" s="2" t="n">
        <v>1</v>
      </c>
      <c r="D15" s="7" t="n">
        <v>0.7</v>
      </c>
      <c r="E15" s="7" t="n">
        <v>1.09</v>
      </c>
      <c r="F15" s="16" t="s">
        <v>126</v>
      </c>
      <c r="G15" s="7" t="n">
        <f aca="false">D15*E15</f>
        <v>0.763</v>
      </c>
      <c r="H15" s="2" t="s">
        <v>149</v>
      </c>
      <c r="I15" s="2" t="s">
        <v>150</v>
      </c>
      <c r="J15" s="2" t="s">
        <v>112</v>
      </c>
      <c r="K15" s="16"/>
    </row>
    <row r="16" customFormat="false" ht="23.85" hidden="false" customHeight="false" outlineLevel="0" collapsed="false">
      <c r="A16" s="2" t="s">
        <v>151</v>
      </c>
      <c r="B16" s="2" t="s">
        <v>152</v>
      </c>
      <c r="C16" s="2" t="n">
        <v>1</v>
      </c>
      <c r="D16" s="7" t="n">
        <v>0.7</v>
      </c>
      <c r="E16" s="7" t="n">
        <v>1.09</v>
      </c>
      <c r="F16" s="16" t="s">
        <v>126</v>
      </c>
      <c r="G16" s="7" t="n">
        <f aca="false">D16*E16</f>
        <v>0.763</v>
      </c>
      <c r="H16" s="2" t="s">
        <v>153</v>
      </c>
      <c r="I16" s="2" t="s">
        <v>150</v>
      </c>
      <c r="J16" s="2" t="s">
        <v>112</v>
      </c>
      <c r="K16" s="16"/>
    </row>
    <row r="17" customFormat="false" ht="15" hidden="false" customHeight="false" outlineLevel="0" collapsed="false">
      <c r="A17" s="17" t="s">
        <v>154</v>
      </c>
      <c r="B17" s="17" t="s">
        <v>116</v>
      </c>
      <c r="C17" s="17" t="n">
        <v>1</v>
      </c>
      <c r="D17" s="18" t="n">
        <v>0.7</v>
      </c>
      <c r="E17" s="18" t="n">
        <v>1.09</v>
      </c>
      <c r="F17" s="19" t="s">
        <v>126</v>
      </c>
      <c r="G17" s="18" t="n">
        <f aca="false">D17*E17</f>
        <v>0.763</v>
      </c>
      <c r="H17" s="17" t="s">
        <v>155</v>
      </c>
      <c r="I17" s="17"/>
      <c r="J17" s="17" t="s">
        <v>112</v>
      </c>
      <c r="K17" s="19"/>
    </row>
    <row r="19" customFormat="false" ht="23.85" hidden="false" customHeight="false" outlineLevel="0" collapsed="false">
      <c r="A19" s="6" t="s">
        <v>96</v>
      </c>
      <c r="B19" s="6"/>
      <c r="C19" s="6"/>
      <c r="D19" s="12" t="n">
        <v>3.7</v>
      </c>
      <c r="E19" s="12" t="n">
        <v>4.45</v>
      </c>
      <c r="F19" s="6"/>
      <c r="G19" s="12" t="n">
        <f aca="false">D19*E19</f>
        <v>16.465</v>
      </c>
      <c r="H19" s="6"/>
      <c r="I19" s="6" t="str">
        <f aca="false">"Los equipos ocupan "&amp;TEXT(SUM(G20:G24),"0.0")&amp;" m² ("&amp;TEXT(SUM(G20:G24)/G19,"0%")&amp;")"</f>
        <v>Los equipos ocupan 5.3 m² (32%)</v>
      </c>
      <c r="J19" s="6" t="s">
        <v>112</v>
      </c>
      <c r="K19" s="6"/>
    </row>
    <row r="20" customFormat="false" ht="15" hidden="false" customHeight="false" outlineLevel="0" collapsed="false">
      <c r="A20" s="2" t="s">
        <v>156</v>
      </c>
      <c r="B20" s="2" t="s">
        <v>148</v>
      </c>
      <c r="C20" s="2" t="n">
        <v>1</v>
      </c>
      <c r="D20" s="7" t="n">
        <v>1.4</v>
      </c>
      <c r="E20" s="7" t="n">
        <v>0.95</v>
      </c>
      <c r="F20" s="16" t="s">
        <v>126</v>
      </c>
      <c r="G20" s="7" t="n">
        <f aca="false">D20*E20</f>
        <v>1.33</v>
      </c>
      <c r="H20" s="2" t="s">
        <v>157</v>
      </c>
      <c r="I20" s="2" t="s">
        <v>158</v>
      </c>
      <c r="J20" s="2" t="s">
        <v>159</v>
      </c>
      <c r="K20" s="16"/>
    </row>
    <row r="21" customFormat="false" ht="15" hidden="false" customHeight="false" outlineLevel="0" collapsed="false">
      <c r="A21" s="2" t="s">
        <v>160</v>
      </c>
      <c r="B21" s="2" t="s">
        <v>148</v>
      </c>
      <c r="C21" s="2" t="n">
        <v>1</v>
      </c>
      <c r="D21" s="7" t="n">
        <v>1</v>
      </c>
      <c r="E21" s="7" t="n">
        <v>0.52</v>
      </c>
      <c r="F21" s="16" t="s">
        <v>126</v>
      </c>
      <c r="G21" s="7" t="n">
        <f aca="false">D21*E21</f>
        <v>0.52</v>
      </c>
      <c r="H21" s="2" t="s">
        <v>161</v>
      </c>
      <c r="I21" s="2"/>
      <c r="J21" s="2" t="s">
        <v>112</v>
      </c>
      <c r="K21" s="16"/>
    </row>
    <row r="22" customFormat="false" ht="15" hidden="false" customHeight="false" outlineLevel="0" collapsed="false">
      <c r="A22" s="2" t="s">
        <v>162</v>
      </c>
      <c r="B22" s="2" t="s">
        <v>148</v>
      </c>
      <c r="C22" s="2" t="n">
        <v>1</v>
      </c>
      <c r="D22" s="7" t="n">
        <v>1.09</v>
      </c>
      <c r="E22" s="7" t="n">
        <v>0.6</v>
      </c>
      <c r="F22" s="16" t="s">
        <v>126</v>
      </c>
      <c r="G22" s="7" t="n">
        <f aca="false">D22*E22</f>
        <v>0.654</v>
      </c>
      <c r="H22" s="2" t="s">
        <v>163</v>
      </c>
      <c r="I22" s="2" t="s">
        <v>164</v>
      </c>
      <c r="J22" s="2" t="s">
        <v>112</v>
      </c>
      <c r="K22" s="16"/>
    </row>
    <row r="23" customFormat="false" ht="15" hidden="false" customHeight="false" outlineLevel="0" collapsed="false">
      <c r="A23" s="2" t="s">
        <v>165</v>
      </c>
      <c r="B23" s="2" t="s">
        <v>148</v>
      </c>
      <c r="C23" s="2" t="n">
        <v>1</v>
      </c>
      <c r="D23" s="7" t="n">
        <v>1.09</v>
      </c>
      <c r="E23" s="7" t="n">
        <v>0.58</v>
      </c>
      <c r="F23" s="16" t="s">
        <v>126</v>
      </c>
      <c r="G23" s="7" t="n">
        <f aca="false">D23*E23</f>
        <v>0.6322</v>
      </c>
      <c r="H23" s="2" t="s">
        <v>166</v>
      </c>
      <c r="I23" s="2" t="s">
        <v>164</v>
      </c>
      <c r="J23" s="2" t="s">
        <v>112</v>
      </c>
      <c r="K23" s="16"/>
    </row>
    <row r="24" customFormat="false" ht="35.05" hidden="false" customHeight="false" outlineLevel="0" collapsed="false">
      <c r="A24" s="17" t="s">
        <v>167</v>
      </c>
      <c r="B24" s="17" t="s">
        <v>148</v>
      </c>
      <c r="C24" s="17" t="n">
        <v>3</v>
      </c>
      <c r="D24" s="18" t="n">
        <v>3.6</v>
      </c>
      <c r="E24" s="18" t="n">
        <v>0.6</v>
      </c>
      <c r="F24" s="18" t="n">
        <v>2</v>
      </c>
      <c r="G24" s="18" t="n">
        <f aca="false">D24*E24</f>
        <v>2.16</v>
      </c>
      <c r="H24" s="17" t="s">
        <v>168</v>
      </c>
      <c r="I24" s="17" t="s">
        <v>169</v>
      </c>
      <c r="J24" s="17" t="s">
        <v>145</v>
      </c>
      <c r="K24" s="19"/>
    </row>
    <row r="26" customFormat="false" ht="23.85" hidden="false" customHeight="false" outlineLevel="0" collapsed="false">
      <c r="A26" s="6" t="s">
        <v>97</v>
      </c>
      <c r="B26" s="6"/>
      <c r="C26" s="6"/>
      <c r="D26" s="12" t="n">
        <v>3.4</v>
      </c>
      <c r="E26" s="12" t="n">
        <v>3.5</v>
      </c>
      <c r="F26" s="6"/>
      <c r="G26" s="12" t="n">
        <f aca="false">D26*E26</f>
        <v>11.9</v>
      </c>
      <c r="H26" s="6"/>
      <c r="I26" s="6" t="str">
        <f aca="false">"Los equipos ocupan "&amp;TEXT(SUM(G27:G29),"0.0")&amp;" m² ("&amp;TEXT(SUM(G27:G29)/G26,"0%")&amp;")"</f>
        <v>Los equipos ocupan 2.4 m² (20%)</v>
      </c>
      <c r="J26" s="6" t="s">
        <v>112</v>
      </c>
      <c r="K26" s="6"/>
    </row>
    <row r="27" customFormat="false" ht="15" hidden="false" customHeight="false" outlineLevel="0" collapsed="false">
      <c r="A27" s="2" t="s">
        <v>170</v>
      </c>
      <c r="B27" s="2" t="s">
        <v>152</v>
      </c>
      <c r="C27" s="2" t="n">
        <v>1</v>
      </c>
      <c r="D27" s="7" t="n">
        <v>0.95</v>
      </c>
      <c r="E27" s="7" t="n">
        <v>1.4</v>
      </c>
      <c r="F27" s="16" t="s">
        <v>126</v>
      </c>
      <c r="G27" s="7" t="n">
        <f aca="false">D27*E27</f>
        <v>1.33</v>
      </c>
      <c r="H27" s="2" t="s">
        <v>171</v>
      </c>
      <c r="I27" s="2"/>
      <c r="J27" s="2" t="s">
        <v>112</v>
      </c>
      <c r="K27" s="16"/>
    </row>
    <row r="28" customFormat="false" ht="15" hidden="false" customHeight="false" outlineLevel="0" collapsed="false">
      <c r="A28" s="2" t="s">
        <v>160</v>
      </c>
      <c r="B28" s="2" t="s">
        <v>152</v>
      </c>
      <c r="C28" s="2" t="n">
        <v>1</v>
      </c>
      <c r="D28" s="7" t="n">
        <v>1</v>
      </c>
      <c r="E28" s="7" t="n">
        <v>0.52</v>
      </c>
      <c r="F28" s="16" t="s">
        <v>126</v>
      </c>
      <c r="G28" s="7" t="n">
        <f aca="false">D28*E28</f>
        <v>0.52</v>
      </c>
      <c r="H28" s="2" t="s">
        <v>172</v>
      </c>
      <c r="I28" s="2"/>
      <c r="J28" s="2" t="s">
        <v>112</v>
      </c>
      <c r="K28" s="16"/>
    </row>
    <row r="29" customFormat="false" ht="15" hidden="false" customHeight="false" outlineLevel="0" collapsed="false">
      <c r="A29" s="17" t="s">
        <v>173</v>
      </c>
      <c r="B29" s="17" t="s">
        <v>152</v>
      </c>
      <c r="C29" s="17" t="n">
        <v>1</v>
      </c>
      <c r="D29" s="18" t="n">
        <v>1</v>
      </c>
      <c r="E29" s="18" t="n">
        <v>0.5</v>
      </c>
      <c r="F29" s="19" t="s">
        <v>126</v>
      </c>
      <c r="G29" s="18" t="n">
        <f aca="false">D29*E29</f>
        <v>0.5</v>
      </c>
      <c r="H29" s="17" t="s">
        <v>174</v>
      </c>
      <c r="I29" s="17" t="s">
        <v>164</v>
      </c>
      <c r="J29" s="17" t="s">
        <v>112</v>
      </c>
      <c r="K29" s="19"/>
    </row>
    <row r="31" customFormat="false" ht="23.85" hidden="false" customHeight="false" outlineLevel="0" collapsed="false">
      <c r="A31" s="6" t="s">
        <v>98</v>
      </c>
      <c r="B31" s="6"/>
      <c r="C31" s="6"/>
      <c r="D31" s="12" t="n">
        <v>10.2</v>
      </c>
      <c r="E31" s="12" t="n">
        <v>5.95</v>
      </c>
      <c r="F31" s="6"/>
      <c r="G31" s="12" t="n">
        <f aca="false">D31*E31</f>
        <v>60.69</v>
      </c>
      <c r="H31" s="6"/>
      <c r="I31" s="6" t="str">
        <f aca="false">"Los equipos ocupan "&amp;TEXT(SUM(G32:G51),"0.0")&amp;" m² ("&amp;TEXT(SUM(G32:G51)/G31,"0%")&amp;")"</f>
        <v>Los equipos ocupan 28.2 m² (46%)</v>
      </c>
      <c r="J31" s="6" t="s">
        <v>112</v>
      </c>
      <c r="K31" s="6"/>
    </row>
    <row r="32" customFormat="false" ht="15" hidden="false" customHeight="false" outlineLevel="0" collapsed="false">
      <c r="A32" s="15" t="s">
        <v>175</v>
      </c>
      <c r="B32" s="15"/>
      <c r="C32" s="15"/>
      <c r="D32" s="15"/>
      <c r="E32" s="15"/>
      <c r="F32" s="15"/>
      <c r="G32" s="15"/>
      <c r="H32" s="15"/>
      <c r="I32" s="15"/>
      <c r="J32" s="15" t="s">
        <v>114</v>
      </c>
      <c r="K32" s="15"/>
    </row>
    <row r="33" customFormat="false" ht="15" hidden="false" customHeight="false" outlineLevel="0" collapsed="false">
      <c r="A33" s="2" t="s">
        <v>176</v>
      </c>
      <c r="B33" s="2" t="s">
        <v>148</v>
      </c>
      <c r="C33" s="2" t="n">
        <v>1</v>
      </c>
      <c r="D33" s="7" t="n">
        <v>1.9</v>
      </c>
      <c r="E33" s="7" t="n">
        <v>1.4</v>
      </c>
      <c r="F33" s="16" t="s">
        <v>126</v>
      </c>
      <c r="G33" s="7" t="n">
        <f aca="false">D33*E33</f>
        <v>2.66</v>
      </c>
      <c r="H33" s="2" t="s">
        <v>157</v>
      </c>
      <c r="I33" s="2"/>
      <c r="J33" s="2" t="s">
        <v>112</v>
      </c>
      <c r="K33" s="16"/>
    </row>
    <row r="34" customFormat="false" ht="15" hidden="false" customHeight="false" outlineLevel="0" collapsed="false">
      <c r="A34" s="2" t="s">
        <v>177</v>
      </c>
      <c r="B34" s="2" t="s">
        <v>148</v>
      </c>
      <c r="C34" s="2" t="n">
        <v>1</v>
      </c>
      <c r="D34" s="7" t="n">
        <v>1.9</v>
      </c>
      <c r="E34" s="7" t="n">
        <v>1.4</v>
      </c>
      <c r="F34" s="16" t="s">
        <v>126</v>
      </c>
      <c r="G34" s="7" t="n">
        <f aca="false">D34*E34</f>
        <v>2.66</v>
      </c>
      <c r="H34" s="2" t="s">
        <v>178</v>
      </c>
      <c r="I34" s="2"/>
      <c r="J34" s="2" t="s">
        <v>112</v>
      </c>
      <c r="K34" s="16"/>
    </row>
    <row r="35" customFormat="false" ht="23.85" hidden="false" customHeight="false" outlineLevel="0" collapsed="false">
      <c r="A35" s="2" t="s">
        <v>179</v>
      </c>
      <c r="B35" s="2" t="s">
        <v>148</v>
      </c>
      <c r="C35" s="2" t="n">
        <v>5</v>
      </c>
      <c r="D35" s="7" t="n">
        <v>2.3</v>
      </c>
      <c r="E35" s="7" t="n">
        <v>1.2</v>
      </c>
      <c r="F35" s="16" t="s">
        <v>126</v>
      </c>
      <c r="G35" s="7" t="n">
        <f aca="false">D35*E35</f>
        <v>2.76</v>
      </c>
      <c r="H35" s="2" t="s">
        <v>180</v>
      </c>
      <c r="I35" s="2" t="s">
        <v>181</v>
      </c>
      <c r="J35" s="2" t="s">
        <v>145</v>
      </c>
      <c r="K35" s="16"/>
    </row>
    <row r="36" customFormat="false" ht="15" hidden="false" customHeight="false" outlineLevel="0" collapsed="false">
      <c r="A36" s="2" t="s">
        <v>182</v>
      </c>
      <c r="B36" s="2" t="s">
        <v>116</v>
      </c>
      <c r="C36" s="2" t="n">
        <v>1</v>
      </c>
      <c r="D36" s="7" t="n">
        <v>1.8</v>
      </c>
      <c r="E36" s="7" t="n">
        <v>1</v>
      </c>
      <c r="F36" s="16" t="s">
        <v>126</v>
      </c>
      <c r="G36" s="7" t="n">
        <f aca="false">D36*E36</f>
        <v>1.8</v>
      </c>
      <c r="H36" s="2" t="s">
        <v>183</v>
      </c>
      <c r="I36" s="2"/>
      <c r="J36" s="2" t="s">
        <v>112</v>
      </c>
      <c r="K36" s="16"/>
    </row>
    <row r="37" customFormat="false" ht="15" hidden="false" customHeight="false" outlineLevel="0" collapsed="false">
      <c r="A37" s="2" t="s">
        <v>184</v>
      </c>
      <c r="B37" s="2" t="s">
        <v>116</v>
      </c>
      <c r="C37" s="2" t="n">
        <v>1</v>
      </c>
      <c r="D37" s="7" t="n">
        <v>1.4</v>
      </c>
      <c r="E37" s="7" t="n">
        <v>1.4</v>
      </c>
      <c r="F37" s="16" t="s">
        <v>126</v>
      </c>
      <c r="G37" s="7" t="n">
        <f aca="false">D37*E37</f>
        <v>1.96</v>
      </c>
      <c r="H37" s="2" t="s">
        <v>185</v>
      </c>
      <c r="I37" s="2" t="s">
        <v>186</v>
      </c>
      <c r="J37" s="2" t="s">
        <v>112</v>
      </c>
      <c r="K37" s="16"/>
    </row>
    <row r="38" customFormat="false" ht="15" hidden="false" customHeight="false" outlineLevel="0" collapsed="false">
      <c r="A38" s="2" t="s">
        <v>187</v>
      </c>
      <c r="B38" s="2" t="s">
        <v>116</v>
      </c>
      <c r="C38" s="2" t="n">
        <v>1</v>
      </c>
      <c r="D38" s="7" t="n">
        <v>9.9</v>
      </c>
      <c r="E38" s="7" t="n">
        <v>0.22</v>
      </c>
      <c r="F38" s="16" t="s">
        <v>126</v>
      </c>
      <c r="G38" s="7" t="n">
        <f aca="false">D38*E38</f>
        <v>2.178</v>
      </c>
      <c r="H38" s="2" t="s">
        <v>188</v>
      </c>
      <c r="I38" s="2"/>
      <c r="J38" s="2" t="s">
        <v>112</v>
      </c>
      <c r="K38" s="16" t="s">
        <v>189</v>
      </c>
    </row>
    <row r="39" customFormat="false" ht="15" hidden="false" customHeight="false" outlineLevel="0" collapsed="false">
      <c r="A39" s="15" t="s">
        <v>190</v>
      </c>
      <c r="B39" s="15"/>
      <c r="C39" s="15"/>
      <c r="D39" s="15"/>
      <c r="E39" s="15"/>
      <c r="F39" s="15"/>
      <c r="G39" s="15"/>
      <c r="H39" s="15"/>
      <c r="I39" s="15"/>
      <c r="J39" s="15" t="s">
        <v>114</v>
      </c>
      <c r="K39" s="15"/>
    </row>
    <row r="40" customFormat="false" ht="15" hidden="false" customHeight="false" outlineLevel="0" collapsed="false">
      <c r="A40" s="2" t="s">
        <v>191</v>
      </c>
      <c r="B40" s="2" t="s">
        <v>148</v>
      </c>
      <c r="C40" s="2" t="n">
        <v>1</v>
      </c>
      <c r="D40" s="7" t="n">
        <v>4</v>
      </c>
      <c r="E40" s="7" t="n">
        <v>0.35</v>
      </c>
      <c r="F40" s="16" t="s">
        <v>126</v>
      </c>
      <c r="G40" s="7" t="n">
        <f aca="false">D40*E40</f>
        <v>1.4</v>
      </c>
      <c r="H40" s="2" t="s">
        <v>192</v>
      </c>
      <c r="I40" s="2" t="s">
        <v>193</v>
      </c>
      <c r="J40" s="2" t="s">
        <v>112</v>
      </c>
      <c r="K40" s="16"/>
    </row>
    <row r="41" customFormat="false" ht="15" hidden="false" customHeight="false" outlineLevel="0" collapsed="false">
      <c r="A41" s="2" t="s">
        <v>194</v>
      </c>
      <c r="B41" s="2" t="s">
        <v>116</v>
      </c>
      <c r="C41" s="2" t="n">
        <v>1</v>
      </c>
      <c r="D41" s="7" t="n">
        <v>1.15</v>
      </c>
      <c r="E41" s="7" t="n">
        <v>1</v>
      </c>
      <c r="F41" s="16" t="s">
        <v>126</v>
      </c>
      <c r="G41" s="7" t="n">
        <f aca="false">D41*E41</f>
        <v>1.15</v>
      </c>
      <c r="H41" s="2" t="s">
        <v>195</v>
      </c>
      <c r="I41" s="2"/>
      <c r="J41" s="2" t="s">
        <v>112</v>
      </c>
      <c r="K41" s="16"/>
    </row>
    <row r="42" customFormat="false" ht="15" hidden="false" customHeight="false" outlineLevel="0" collapsed="false">
      <c r="A42" s="2" t="s">
        <v>196</v>
      </c>
      <c r="B42" s="2" t="s">
        <v>116</v>
      </c>
      <c r="C42" s="2" t="n">
        <v>1</v>
      </c>
      <c r="D42" s="7" t="n">
        <v>1.15</v>
      </c>
      <c r="E42" s="7" t="n">
        <v>1</v>
      </c>
      <c r="F42" s="16" t="s">
        <v>126</v>
      </c>
      <c r="G42" s="7" t="n">
        <f aca="false">D42*E42</f>
        <v>1.15</v>
      </c>
      <c r="H42" s="2" t="s">
        <v>195</v>
      </c>
      <c r="I42" s="2"/>
      <c r="J42" s="2" t="s">
        <v>112</v>
      </c>
      <c r="K42" s="16"/>
    </row>
    <row r="43" customFormat="false" ht="15" hidden="false" customHeight="false" outlineLevel="0" collapsed="false">
      <c r="A43" s="2" t="s">
        <v>197</v>
      </c>
      <c r="B43" s="2" t="s">
        <v>116</v>
      </c>
      <c r="C43" s="2" t="n">
        <v>1</v>
      </c>
      <c r="D43" s="7" t="n">
        <v>1.15</v>
      </c>
      <c r="E43" s="7" t="n">
        <v>1</v>
      </c>
      <c r="F43" s="16" t="s">
        <v>126</v>
      </c>
      <c r="G43" s="7" t="n">
        <f aca="false">D43*E43</f>
        <v>1.15</v>
      </c>
      <c r="H43" s="2" t="s">
        <v>195</v>
      </c>
      <c r="I43" s="2"/>
      <c r="J43" s="2" t="s">
        <v>112</v>
      </c>
      <c r="K43" s="16"/>
    </row>
    <row r="44" customFormat="false" ht="15" hidden="false" customHeight="false" outlineLevel="0" collapsed="false">
      <c r="A44" s="2" t="s">
        <v>198</v>
      </c>
      <c r="B44" s="2" t="s">
        <v>116</v>
      </c>
      <c r="C44" s="2" t="n">
        <v>1</v>
      </c>
      <c r="D44" s="7" t="n">
        <v>1.15</v>
      </c>
      <c r="E44" s="7" t="n">
        <v>1</v>
      </c>
      <c r="F44" s="16" t="s">
        <v>126</v>
      </c>
      <c r="G44" s="7" t="n">
        <f aca="false">D44*E44</f>
        <v>1.15</v>
      </c>
      <c r="H44" s="2" t="s">
        <v>195</v>
      </c>
      <c r="I44" s="2"/>
      <c r="J44" s="2" t="s">
        <v>112</v>
      </c>
      <c r="K44" s="16"/>
    </row>
    <row r="45" customFormat="false" ht="15" hidden="false" customHeight="false" outlineLevel="0" collapsed="false">
      <c r="A45" s="2" t="s">
        <v>199</v>
      </c>
      <c r="B45" s="2" t="s">
        <v>116</v>
      </c>
      <c r="C45" s="2" t="n">
        <v>1</v>
      </c>
      <c r="D45" s="7" t="n">
        <v>1.6</v>
      </c>
      <c r="E45" s="7" t="n">
        <v>0.5</v>
      </c>
      <c r="F45" s="16" t="s">
        <v>126</v>
      </c>
      <c r="G45" s="7" t="n">
        <f aca="false">D45*E45</f>
        <v>0.8</v>
      </c>
      <c r="H45" s="2" t="s">
        <v>200</v>
      </c>
      <c r="I45" s="2"/>
      <c r="J45" s="2" t="s">
        <v>112</v>
      </c>
      <c r="K45" s="16"/>
    </row>
    <row r="46" customFormat="false" ht="23.85" hidden="false" customHeight="false" outlineLevel="0" collapsed="false">
      <c r="A46" s="2" t="s">
        <v>201</v>
      </c>
      <c r="B46" s="2" t="s">
        <v>148</v>
      </c>
      <c r="C46" s="2" t="n">
        <v>3</v>
      </c>
      <c r="D46" s="7" t="n">
        <v>3.2</v>
      </c>
      <c r="E46" s="7" t="n">
        <v>0.9</v>
      </c>
      <c r="F46" s="16" t="s">
        <v>126</v>
      </c>
      <c r="G46" s="7" t="n">
        <f aca="false">D46*E46</f>
        <v>2.88</v>
      </c>
      <c r="H46" s="2" t="s">
        <v>200</v>
      </c>
      <c r="I46" s="2" t="s">
        <v>202</v>
      </c>
      <c r="J46" s="2" t="s">
        <v>145</v>
      </c>
      <c r="K46" s="16"/>
    </row>
    <row r="47" customFormat="false" ht="15" hidden="false" customHeight="false" outlineLevel="0" collapsed="false">
      <c r="A47" s="15" t="s">
        <v>203</v>
      </c>
      <c r="B47" s="15"/>
      <c r="C47" s="15"/>
      <c r="D47" s="15"/>
      <c r="E47" s="15"/>
      <c r="F47" s="15"/>
      <c r="G47" s="15"/>
      <c r="H47" s="15"/>
      <c r="I47" s="15"/>
      <c r="J47" s="15" t="s">
        <v>114</v>
      </c>
      <c r="K47" s="15"/>
    </row>
    <row r="48" customFormat="false" ht="15" hidden="false" customHeight="false" outlineLevel="0" collapsed="false">
      <c r="A48" s="2" t="s">
        <v>204</v>
      </c>
      <c r="B48" s="2" t="s">
        <v>152</v>
      </c>
      <c r="C48" s="2" t="n">
        <v>1</v>
      </c>
      <c r="D48" s="7" t="n">
        <v>1.2</v>
      </c>
      <c r="E48" s="7" t="n">
        <v>1.2</v>
      </c>
      <c r="F48" s="16" t="s">
        <v>126</v>
      </c>
      <c r="G48" s="7" t="n">
        <f aca="false">D48*E48</f>
        <v>1.44</v>
      </c>
      <c r="H48" s="2" t="s">
        <v>205</v>
      </c>
      <c r="I48" s="2"/>
      <c r="J48" s="2" t="s">
        <v>112</v>
      </c>
      <c r="K48" s="16"/>
    </row>
    <row r="49" customFormat="false" ht="15" hidden="false" customHeight="false" outlineLevel="0" collapsed="false">
      <c r="A49" s="2" t="s">
        <v>206</v>
      </c>
      <c r="B49" s="2" t="s">
        <v>152</v>
      </c>
      <c r="C49" s="2" t="n">
        <v>1</v>
      </c>
      <c r="D49" s="7" t="n">
        <v>1.2</v>
      </c>
      <c r="E49" s="7" t="n">
        <v>1.2</v>
      </c>
      <c r="F49" s="16" t="s">
        <v>126</v>
      </c>
      <c r="G49" s="7" t="n">
        <f aca="false">D49*E49</f>
        <v>1.44</v>
      </c>
      <c r="H49" s="2" t="s">
        <v>205</v>
      </c>
      <c r="I49" s="2"/>
      <c r="J49" s="2" t="s">
        <v>112</v>
      </c>
      <c r="K49" s="16"/>
    </row>
    <row r="50" customFormat="false" ht="15" hidden="false" customHeight="false" outlineLevel="0" collapsed="false">
      <c r="A50" s="15" t="s">
        <v>207</v>
      </c>
      <c r="B50" s="15"/>
      <c r="C50" s="15"/>
      <c r="D50" s="15"/>
      <c r="E50" s="15"/>
      <c r="F50" s="15"/>
      <c r="G50" s="15"/>
      <c r="H50" s="15"/>
      <c r="I50" s="15"/>
      <c r="J50" s="15" t="s">
        <v>114</v>
      </c>
      <c r="K50" s="15"/>
    </row>
    <row r="51" customFormat="false" ht="15" hidden="false" customHeight="false" outlineLevel="0" collapsed="false">
      <c r="A51" s="17" t="s">
        <v>208</v>
      </c>
      <c r="B51" s="17" t="s">
        <v>152</v>
      </c>
      <c r="C51" s="17" t="n">
        <v>1</v>
      </c>
      <c r="D51" s="18" t="n">
        <v>1.6</v>
      </c>
      <c r="E51" s="18" t="n">
        <v>1</v>
      </c>
      <c r="F51" s="19" t="s">
        <v>126</v>
      </c>
      <c r="G51" s="18" t="n">
        <f aca="false">D51*E51</f>
        <v>1.6</v>
      </c>
      <c r="H51" s="17" t="s">
        <v>163</v>
      </c>
      <c r="I51" s="17"/>
      <c r="J51" s="17" t="s">
        <v>112</v>
      </c>
      <c r="K51" s="19"/>
    </row>
    <row r="53" customFormat="false" ht="23.85" hidden="false" customHeight="false" outlineLevel="0" collapsed="false">
      <c r="A53" s="6" t="s">
        <v>99</v>
      </c>
      <c r="B53" s="6"/>
      <c r="C53" s="6"/>
      <c r="D53" s="12" t="n">
        <v>9.4</v>
      </c>
      <c r="E53" s="12" t="n">
        <v>2</v>
      </c>
      <c r="F53" s="6"/>
      <c r="G53" s="12" t="n">
        <f aca="false">D53*E53</f>
        <v>18.8</v>
      </c>
      <c r="H53" s="6"/>
      <c r="I53" s="6" t="str">
        <f aca="false">"Los equipos ocupan "&amp;TEXT(SUM(G54:G56),"0.0")&amp;" m² ("&amp;TEXT(SUM(G54:G56)/G53,"0%")&amp;")"</f>
        <v>Los equipos ocupan 10.4 m² (56%)</v>
      </c>
      <c r="J53" s="6" t="s">
        <v>112</v>
      </c>
      <c r="K53" s="6"/>
    </row>
    <row r="54" customFormat="false" ht="15" hidden="false" customHeight="false" outlineLevel="0" collapsed="false">
      <c r="A54" s="2" t="s">
        <v>209</v>
      </c>
      <c r="B54" s="2" t="s">
        <v>148</v>
      </c>
      <c r="C54" s="2" t="n">
        <v>4</v>
      </c>
      <c r="D54" s="7" t="n">
        <v>4.85</v>
      </c>
      <c r="E54" s="7" t="n">
        <v>1.1</v>
      </c>
      <c r="F54" s="16" t="s">
        <v>126</v>
      </c>
      <c r="G54" s="7" t="n">
        <f aca="false">D54*E54</f>
        <v>5.335</v>
      </c>
      <c r="H54" s="2" t="s">
        <v>210</v>
      </c>
      <c r="I54" s="2" t="s">
        <v>211</v>
      </c>
      <c r="J54" s="2" t="s">
        <v>112</v>
      </c>
      <c r="K54" s="16"/>
    </row>
    <row r="55" customFormat="false" ht="15" hidden="false" customHeight="false" outlineLevel="0" collapsed="false">
      <c r="A55" s="2" t="s">
        <v>212</v>
      </c>
      <c r="B55" s="2" t="s">
        <v>152</v>
      </c>
      <c r="C55" s="2" t="n">
        <v>2</v>
      </c>
      <c r="D55" s="7" t="n">
        <v>2.6</v>
      </c>
      <c r="E55" s="7" t="n">
        <v>1.1</v>
      </c>
      <c r="F55" s="16" t="s">
        <v>126</v>
      </c>
      <c r="G55" s="7" t="n">
        <f aca="false">D55*E55</f>
        <v>2.86</v>
      </c>
      <c r="H55" s="2" t="s">
        <v>213</v>
      </c>
      <c r="I55" s="2" t="s">
        <v>214</v>
      </c>
      <c r="J55" s="2" t="s">
        <v>112</v>
      </c>
      <c r="K55" s="16"/>
    </row>
    <row r="56" customFormat="false" ht="15" hidden="false" customHeight="false" outlineLevel="0" collapsed="false">
      <c r="A56" s="17" t="s">
        <v>215</v>
      </c>
      <c r="B56" s="17" t="s">
        <v>116</v>
      </c>
      <c r="C56" s="17" t="n">
        <v>1</v>
      </c>
      <c r="D56" s="18" t="n">
        <v>1.45</v>
      </c>
      <c r="E56" s="18" t="n">
        <v>1.55</v>
      </c>
      <c r="F56" s="17" t="s">
        <v>122</v>
      </c>
      <c r="G56" s="18" t="n">
        <f aca="false">D56*E56</f>
        <v>2.2475</v>
      </c>
      <c r="H56" s="17" t="s">
        <v>216</v>
      </c>
      <c r="I56" s="17" t="s">
        <v>217</v>
      </c>
      <c r="J56" s="17" t="s">
        <v>112</v>
      </c>
      <c r="K56" s="1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 min="2" style="0" width="6"/>
    <col collapsed="false" customWidth="true" hidden="false" outlineLevel="0" max="5" min="3" style="0" width="9"/>
    <col collapsed="false" customWidth="true" hidden="false" outlineLevel="0" max="6" min="6" style="0" width="10"/>
    <col collapsed="false" customWidth="true" hidden="false" outlineLevel="0" max="7" min="7" style="0" width="22"/>
    <col collapsed="false" customWidth="true" hidden="false" outlineLevel="0" max="8" min="8" style="0" width="40"/>
    <col collapsed="false" customWidth="true" hidden="false" outlineLevel="0" max="9" min="9" style="0" width="16"/>
    <col collapsed="false" customWidth="true" hidden="false" outlineLevel="0" max="10" min="10" style="0" width="40"/>
  </cols>
  <sheetData>
    <row r="1" customFormat="false" ht="16.15" hidden="false" customHeight="false" outlineLevel="0" collapsed="false">
      <c r="A1" s="4" t="s">
        <v>218</v>
      </c>
    </row>
    <row r="2" customFormat="false" ht="15" hidden="false" customHeight="false" outlineLevel="0" collapsed="false">
      <c r="A2" s="14" t="s">
        <v>103</v>
      </c>
    </row>
    <row r="4" customFormat="false" ht="15" hidden="false" customHeight="false" outlineLevel="0" collapsed="false">
      <c r="A4" s="5" t="s">
        <v>104</v>
      </c>
      <c r="B4" s="5" t="s">
        <v>106</v>
      </c>
      <c r="C4" s="5" t="s">
        <v>17</v>
      </c>
      <c r="D4" s="5" t="s">
        <v>18</v>
      </c>
      <c r="E4" s="5" t="s">
        <v>107</v>
      </c>
      <c r="F4" s="5" t="s">
        <v>108</v>
      </c>
      <c r="G4" s="5" t="s">
        <v>109</v>
      </c>
      <c r="H4" s="5" t="s">
        <v>110</v>
      </c>
      <c r="I4" s="5" t="s">
        <v>11</v>
      </c>
      <c r="J4" s="5" t="s">
        <v>111</v>
      </c>
    </row>
    <row r="5" customFormat="false" ht="23.85" hidden="false" customHeight="false" outlineLevel="0" collapsed="false">
      <c r="A5" s="6" t="s">
        <v>23</v>
      </c>
      <c r="B5" s="6"/>
      <c r="C5" s="12" t="n">
        <v>9</v>
      </c>
      <c r="D5" s="12" t="n">
        <v>5.45</v>
      </c>
      <c r="E5" s="6"/>
      <c r="F5" s="12" t="n">
        <f aca="false">C5*D5</f>
        <v>49.05</v>
      </c>
      <c r="G5" s="6"/>
      <c r="H5" s="6" t="str">
        <f aca="false">"Los equipos ocupan "&amp;TEXT(SUM(F6:F15),"0.0")&amp;" m² ("&amp;TEXT(SUM(F6:F15)/F5,"0%")&amp;")"</f>
        <v>Los equipos ocupan 23.9 m² (49%)</v>
      </c>
      <c r="I5" s="6" t="s">
        <v>112</v>
      </c>
      <c r="J5" s="6"/>
    </row>
    <row r="6" customFormat="false" ht="15" hidden="false" customHeight="false" outlineLevel="0" collapsed="false">
      <c r="A6" s="2" t="s">
        <v>219</v>
      </c>
      <c r="B6" s="2" t="n">
        <v>1</v>
      </c>
      <c r="C6" s="7" t="n">
        <v>1.5</v>
      </c>
      <c r="D6" s="7" t="n">
        <v>1.7</v>
      </c>
      <c r="E6" s="16" t="s">
        <v>126</v>
      </c>
      <c r="F6" s="7" t="n">
        <f aca="false">C6*D6</f>
        <v>2.55</v>
      </c>
      <c r="G6" s="2" t="s">
        <v>220</v>
      </c>
      <c r="H6" s="2" t="s">
        <v>221</v>
      </c>
      <c r="I6" s="2" t="s">
        <v>112</v>
      </c>
      <c r="J6" s="16"/>
    </row>
    <row r="7" customFormat="false" ht="15" hidden="false" customHeight="false" outlineLevel="0" collapsed="false">
      <c r="A7" s="2" t="s">
        <v>222</v>
      </c>
      <c r="B7" s="2" t="n">
        <v>1</v>
      </c>
      <c r="C7" s="7" t="n">
        <v>1.6</v>
      </c>
      <c r="D7" s="7" t="n">
        <v>0.9</v>
      </c>
      <c r="E7" s="16" t="s">
        <v>126</v>
      </c>
      <c r="F7" s="7" t="n">
        <f aca="false">C7*D7</f>
        <v>1.44</v>
      </c>
      <c r="G7" s="2" t="s">
        <v>223</v>
      </c>
      <c r="H7" s="2"/>
      <c r="I7" s="2" t="s">
        <v>112</v>
      </c>
      <c r="J7" s="16"/>
    </row>
    <row r="8" customFormat="false" ht="15" hidden="false" customHeight="false" outlineLevel="0" collapsed="false">
      <c r="A8" s="2" t="s">
        <v>224</v>
      </c>
      <c r="B8" s="2" t="n">
        <v>1</v>
      </c>
      <c r="C8" s="7" t="n">
        <v>1.3</v>
      </c>
      <c r="D8" s="7" t="n">
        <v>0.9</v>
      </c>
      <c r="E8" s="16" t="s">
        <v>126</v>
      </c>
      <c r="F8" s="7" t="n">
        <f aca="false">C8*D8</f>
        <v>1.17</v>
      </c>
      <c r="G8" s="2" t="s">
        <v>225</v>
      </c>
      <c r="H8" s="2"/>
      <c r="I8" s="2" t="s">
        <v>112</v>
      </c>
      <c r="J8" s="16"/>
    </row>
    <row r="9" customFormat="false" ht="15" hidden="false" customHeight="false" outlineLevel="0" collapsed="false">
      <c r="A9" s="2" t="s">
        <v>226</v>
      </c>
      <c r="B9" s="2" t="n">
        <v>1</v>
      </c>
      <c r="C9" s="7" t="n">
        <v>2.4</v>
      </c>
      <c r="D9" s="7" t="n">
        <v>2.2</v>
      </c>
      <c r="E9" s="16" t="s">
        <v>126</v>
      </c>
      <c r="F9" s="7" t="n">
        <f aca="false">C9*D9</f>
        <v>5.28</v>
      </c>
      <c r="G9" s="2" t="s">
        <v>227</v>
      </c>
      <c r="H9" s="2"/>
      <c r="I9" s="2" t="s">
        <v>112</v>
      </c>
      <c r="J9" s="16" t="s">
        <v>228</v>
      </c>
    </row>
    <row r="10" customFormat="false" ht="15" hidden="false" customHeight="false" outlineLevel="0" collapsed="false">
      <c r="A10" s="2" t="s">
        <v>229</v>
      </c>
      <c r="B10" s="2" t="n">
        <v>1</v>
      </c>
      <c r="C10" s="7" t="n">
        <v>1.2</v>
      </c>
      <c r="D10" s="7" t="n">
        <v>0.9</v>
      </c>
      <c r="E10" s="16" t="s">
        <v>126</v>
      </c>
      <c r="F10" s="7" t="n">
        <f aca="false">C10*D10</f>
        <v>1.08</v>
      </c>
      <c r="G10" s="2" t="s">
        <v>230</v>
      </c>
      <c r="H10" s="2"/>
      <c r="I10" s="2" t="s">
        <v>112</v>
      </c>
      <c r="J10" s="16"/>
    </row>
    <row r="11" customFormat="false" ht="15" hidden="false" customHeight="false" outlineLevel="0" collapsed="false">
      <c r="A11" s="2" t="s">
        <v>231</v>
      </c>
      <c r="B11" s="2" t="n">
        <v>1</v>
      </c>
      <c r="C11" s="7" t="n">
        <v>2.3</v>
      </c>
      <c r="D11" s="7" t="n">
        <v>0.85</v>
      </c>
      <c r="E11" s="16" t="s">
        <v>126</v>
      </c>
      <c r="F11" s="7" t="n">
        <f aca="false">C11*D11</f>
        <v>1.955</v>
      </c>
      <c r="G11" s="2" t="s">
        <v>232</v>
      </c>
      <c r="H11" s="2" t="s">
        <v>233</v>
      </c>
      <c r="I11" s="2" t="s">
        <v>112</v>
      </c>
      <c r="J11" s="16"/>
    </row>
    <row r="12" customFormat="false" ht="15" hidden="false" customHeight="false" outlineLevel="0" collapsed="false">
      <c r="A12" s="2" t="s">
        <v>234</v>
      </c>
      <c r="B12" s="2" t="n">
        <v>1</v>
      </c>
      <c r="C12" s="7" t="n">
        <v>1.6</v>
      </c>
      <c r="D12" s="7" t="n">
        <v>1.25</v>
      </c>
      <c r="E12" s="16" t="s">
        <v>126</v>
      </c>
      <c r="F12" s="7" t="n">
        <f aca="false">C12*D12</f>
        <v>2</v>
      </c>
      <c r="G12" s="2" t="s">
        <v>235</v>
      </c>
      <c r="H12" s="2" t="s">
        <v>236</v>
      </c>
      <c r="I12" s="2" t="s">
        <v>112</v>
      </c>
      <c r="J12" s="16"/>
    </row>
    <row r="13" customFormat="false" ht="35.05" hidden="false" customHeight="false" outlineLevel="0" collapsed="false">
      <c r="A13" s="2" t="s">
        <v>237</v>
      </c>
      <c r="B13" s="2" t="n">
        <v>2</v>
      </c>
      <c r="C13" s="7" t="n">
        <v>5.4</v>
      </c>
      <c r="D13" s="7" t="n">
        <v>1.2</v>
      </c>
      <c r="E13" s="16" t="s">
        <v>126</v>
      </c>
      <c r="F13" s="7" t="n">
        <f aca="false">C13*D13</f>
        <v>6.48</v>
      </c>
      <c r="G13" s="2" t="s">
        <v>238</v>
      </c>
      <c r="H13" s="2" t="s">
        <v>239</v>
      </c>
      <c r="I13" s="2" t="s">
        <v>145</v>
      </c>
      <c r="J13" s="16" t="s">
        <v>240</v>
      </c>
    </row>
    <row r="14" customFormat="false" ht="23.85" hidden="false" customHeight="false" outlineLevel="0" collapsed="false">
      <c r="A14" s="2" t="s">
        <v>241</v>
      </c>
      <c r="B14" s="2" t="n">
        <v>1</v>
      </c>
      <c r="C14" s="7" t="n">
        <v>0.8</v>
      </c>
      <c r="D14" s="7" t="n">
        <v>1.2</v>
      </c>
      <c r="E14" s="16" t="s">
        <v>126</v>
      </c>
      <c r="F14" s="7" t="n">
        <f aca="false">C14*D14</f>
        <v>0.96</v>
      </c>
      <c r="G14" s="2" t="s">
        <v>242</v>
      </c>
      <c r="H14" s="2" t="s">
        <v>243</v>
      </c>
      <c r="I14" s="2" t="s">
        <v>112</v>
      </c>
      <c r="J14" s="16"/>
    </row>
    <row r="15" customFormat="false" ht="23.85" hidden="false" customHeight="false" outlineLevel="0" collapsed="false">
      <c r="A15" s="17" t="s">
        <v>244</v>
      </c>
      <c r="B15" s="17" t="n">
        <v>1</v>
      </c>
      <c r="C15" s="18" t="n">
        <v>0.8</v>
      </c>
      <c r="D15" s="18" t="n">
        <v>1.2</v>
      </c>
      <c r="E15" s="19" t="s">
        <v>126</v>
      </c>
      <c r="F15" s="18" t="n">
        <f aca="false">C15*D15</f>
        <v>0.96</v>
      </c>
      <c r="G15" s="17" t="s">
        <v>245</v>
      </c>
      <c r="H15" s="17" t="s">
        <v>243</v>
      </c>
      <c r="I15" s="17" t="s">
        <v>112</v>
      </c>
      <c r="J15" s="19"/>
    </row>
    <row r="17" customFormat="false" ht="15" hidden="false" customHeight="false" outlineLevel="0" collapsed="false">
      <c r="A17" s="6" t="s">
        <v>24</v>
      </c>
      <c r="B17" s="6"/>
      <c r="C17" s="12" t="n">
        <v>3.1</v>
      </c>
      <c r="D17" s="12" t="n">
        <v>5.45</v>
      </c>
      <c r="E17" s="6"/>
      <c r="F17" s="12" t="n">
        <f aca="false">C17*D17</f>
        <v>16.895</v>
      </c>
      <c r="G17" s="6"/>
      <c r="H17" s="6" t="str">
        <f aca="false">"Los equipos ocupan "&amp;TEXT(SUM(F18:F21),"0.0")&amp;" m² ("&amp;TEXT(SUM(F18:F21)/F17,"0%")&amp;")"</f>
        <v>Los equipos ocupan 3.3 m² (19%)</v>
      </c>
      <c r="I17" s="6" t="s">
        <v>112</v>
      </c>
      <c r="J17" s="6"/>
    </row>
    <row r="18" customFormat="false" ht="15" hidden="false" customHeight="false" outlineLevel="0" collapsed="false">
      <c r="A18" s="2" t="s">
        <v>246</v>
      </c>
      <c r="B18" s="2" t="n">
        <v>1</v>
      </c>
      <c r="C18" s="7" t="n">
        <v>0.75</v>
      </c>
      <c r="D18" s="7" t="n">
        <v>0.6</v>
      </c>
      <c r="E18" s="7" t="n">
        <v>0.66</v>
      </c>
      <c r="F18" s="7" t="n">
        <f aca="false">C18*D18</f>
        <v>0.45</v>
      </c>
      <c r="G18" s="2" t="s">
        <v>195</v>
      </c>
      <c r="H18" s="2" t="s">
        <v>247</v>
      </c>
      <c r="I18" s="2" t="s">
        <v>248</v>
      </c>
      <c r="J18" s="16" t="s">
        <v>249</v>
      </c>
    </row>
    <row r="19" customFormat="false" ht="15" hidden="false" customHeight="false" outlineLevel="0" collapsed="false">
      <c r="A19" s="2" t="s">
        <v>250</v>
      </c>
      <c r="B19" s="2" t="n">
        <v>1</v>
      </c>
      <c r="C19" s="7" t="n">
        <v>0.75</v>
      </c>
      <c r="D19" s="7" t="n">
        <v>0.6</v>
      </c>
      <c r="E19" s="7" t="n">
        <v>0.66</v>
      </c>
      <c r="F19" s="7" t="n">
        <f aca="false">C19*D19</f>
        <v>0.45</v>
      </c>
      <c r="G19" s="2" t="s">
        <v>195</v>
      </c>
      <c r="H19" s="2" t="s">
        <v>251</v>
      </c>
      <c r="I19" s="2" t="s">
        <v>248</v>
      </c>
      <c r="J19" s="16" t="s">
        <v>252</v>
      </c>
    </row>
    <row r="20" customFormat="false" ht="35.05" hidden="false" customHeight="false" outlineLevel="0" collapsed="false">
      <c r="A20" s="2" t="s">
        <v>253</v>
      </c>
      <c r="B20" s="2" t="n">
        <v>2</v>
      </c>
      <c r="C20" s="7" t="n">
        <v>2.4</v>
      </c>
      <c r="D20" s="7" t="n">
        <v>0.6</v>
      </c>
      <c r="E20" s="7" t="n">
        <v>2</v>
      </c>
      <c r="F20" s="7" t="n">
        <f aca="false">C20*D20</f>
        <v>1.44</v>
      </c>
      <c r="G20" s="2" t="s">
        <v>254</v>
      </c>
      <c r="H20" s="2" t="s">
        <v>255</v>
      </c>
      <c r="I20" s="2" t="s">
        <v>145</v>
      </c>
      <c r="J20" s="16"/>
    </row>
    <row r="21" customFormat="false" ht="23.85" hidden="false" customHeight="false" outlineLevel="0" collapsed="false">
      <c r="A21" s="17" t="s">
        <v>256</v>
      </c>
      <c r="B21" s="17" t="n">
        <v>1</v>
      </c>
      <c r="C21" s="18" t="n">
        <v>1.3</v>
      </c>
      <c r="D21" s="18" t="n">
        <v>0.7</v>
      </c>
      <c r="E21" s="19" t="s">
        <v>126</v>
      </c>
      <c r="F21" s="18" t="n">
        <f aca="false">C21*D21</f>
        <v>0.91</v>
      </c>
      <c r="G21" s="17" t="s">
        <v>257</v>
      </c>
      <c r="H21" s="17" t="s">
        <v>258</v>
      </c>
      <c r="I21" s="17" t="s">
        <v>112</v>
      </c>
      <c r="J21" s="19"/>
    </row>
    <row r="23" customFormat="false" ht="15" hidden="false" customHeight="false" outlineLevel="0" collapsed="false">
      <c r="A23" s="6" t="s">
        <v>25</v>
      </c>
      <c r="B23" s="6"/>
      <c r="C23" s="12" t="n">
        <v>2.7</v>
      </c>
      <c r="D23" s="12" t="n">
        <v>5.95</v>
      </c>
      <c r="E23" s="6"/>
      <c r="F23" s="12" t="n">
        <f aca="false">C23*D23</f>
        <v>16.065</v>
      </c>
      <c r="G23" s="6"/>
      <c r="H23" s="6" t="str">
        <f aca="false">"Los equipos ocupan "&amp;TEXT(SUM(F24:F26),"0.0")&amp;" m² ("&amp;TEXT(SUM(F24:F26)/F23,"0%")&amp;")"</f>
        <v>Los equipos ocupan 4.2 m² (26%)</v>
      </c>
      <c r="I23" s="6" t="s">
        <v>112</v>
      </c>
      <c r="J23" s="6"/>
    </row>
    <row r="24" customFormat="false" ht="15" hidden="false" customHeight="false" outlineLevel="0" collapsed="false">
      <c r="A24" s="2" t="s">
        <v>259</v>
      </c>
      <c r="B24" s="2" t="n">
        <v>1</v>
      </c>
      <c r="C24" s="7" t="n">
        <v>1.7</v>
      </c>
      <c r="D24" s="7" t="n">
        <v>1.4</v>
      </c>
      <c r="E24" s="16" t="s">
        <v>126</v>
      </c>
      <c r="F24" s="7" t="n">
        <f aca="false">C24*D24</f>
        <v>2.38</v>
      </c>
      <c r="G24" s="2" t="s">
        <v>260</v>
      </c>
      <c r="H24" s="2"/>
      <c r="I24" s="2" t="s">
        <v>112</v>
      </c>
      <c r="J24" s="16"/>
    </row>
    <row r="25" customFormat="false" ht="15" hidden="false" customHeight="false" outlineLevel="0" collapsed="false">
      <c r="A25" s="2" t="s">
        <v>261</v>
      </c>
      <c r="B25" s="2" t="n">
        <v>1</v>
      </c>
      <c r="C25" s="7" t="n">
        <v>1.3</v>
      </c>
      <c r="D25" s="7" t="n">
        <v>0.7</v>
      </c>
      <c r="E25" s="16" t="s">
        <v>126</v>
      </c>
      <c r="F25" s="7" t="n">
        <f aca="false">C25*D25</f>
        <v>0.91</v>
      </c>
      <c r="G25" s="2" t="s">
        <v>262</v>
      </c>
      <c r="H25" s="2" t="s">
        <v>263</v>
      </c>
      <c r="I25" s="2" t="s">
        <v>112</v>
      </c>
      <c r="J25" s="16"/>
    </row>
    <row r="26" customFormat="false" ht="23.85" hidden="false" customHeight="false" outlineLevel="0" collapsed="false">
      <c r="A26" s="17" t="s">
        <v>264</v>
      </c>
      <c r="B26" s="17" t="n">
        <v>1</v>
      </c>
      <c r="C26" s="18" t="n">
        <v>0.7</v>
      </c>
      <c r="D26" s="18" t="n">
        <v>1.3</v>
      </c>
      <c r="E26" s="19" t="s">
        <v>126</v>
      </c>
      <c r="F26" s="18" t="n">
        <f aca="false">C26*D26</f>
        <v>0.91</v>
      </c>
      <c r="G26" s="17" t="s">
        <v>213</v>
      </c>
      <c r="H26" s="17" t="s">
        <v>258</v>
      </c>
      <c r="I26" s="17" t="s">
        <v>112</v>
      </c>
      <c r="J26" s="19"/>
    </row>
    <row r="28" customFormat="false" ht="15" hidden="false" customHeight="false" outlineLevel="0" collapsed="false">
      <c r="A28" s="6" t="s">
        <v>26</v>
      </c>
      <c r="B28" s="6"/>
      <c r="C28" s="12" t="n">
        <v>2.8</v>
      </c>
      <c r="D28" s="12" t="n">
        <v>4.45</v>
      </c>
      <c r="E28" s="6"/>
      <c r="F28" s="12" t="n">
        <f aca="false">C28*D28</f>
        <v>12.46</v>
      </c>
      <c r="G28" s="6"/>
      <c r="H28" s="6" t="str">
        <f aca="false">"Los equipos ocupan "&amp;TEXT(SUM(F29:F32),"0.0")&amp;" m² ("&amp;TEXT(SUM(F29:F32)/F28,"0%")&amp;")"</f>
        <v>Los equipos ocupan 5.4 m² (43%)</v>
      </c>
      <c r="I28" s="6" t="s">
        <v>112</v>
      </c>
      <c r="J28" s="6"/>
    </row>
    <row r="29" customFormat="false" ht="15" hidden="false" customHeight="false" outlineLevel="0" collapsed="false">
      <c r="A29" s="2" t="s">
        <v>265</v>
      </c>
      <c r="B29" s="2" t="n">
        <v>1</v>
      </c>
      <c r="C29" s="7" t="n">
        <v>2.4</v>
      </c>
      <c r="D29" s="7" t="n">
        <v>1.1</v>
      </c>
      <c r="E29" s="16" t="s">
        <v>126</v>
      </c>
      <c r="F29" s="7" t="n">
        <f aca="false">C29*D29</f>
        <v>2.64</v>
      </c>
      <c r="G29" s="2" t="s">
        <v>178</v>
      </c>
      <c r="H29" s="2"/>
      <c r="I29" s="2" t="s">
        <v>112</v>
      </c>
      <c r="J29" s="16"/>
    </row>
    <row r="30" customFormat="false" ht="23.85" hidden="false" customHeight="false" outlineLevel="0" collapsed="false">
      <c r="A30" s="2" t="s">
        <v>266</v>
      </c>
      <c r="B30" s="2" t="n">
        <v>1</v>
      </c>
      <c r="C30" s="7" t="n">
        <v>1.2</v>
      </c>
      <c r="D30" s="7" t="n">
        <v>0.8</v>
      </c>
      <c r="E30" s="16" t="s">
        <v>126</v>
      </c>
      <c r="F30" s="7" t="n">
        <f aca="false">C30*D30</f>
        <v>0.96</v>
      </c>
      <c r="G30" s="2" t="s">
        <v>267</v>
      </c>
      <c r="H30" s="2" t="s">
        <v>268</v>
      </c>
      <c r="I30" s="2" t="s">
        <v>145</v>
      </c>
      <c r="J30" s="16"/>
    </row>
    <row r="31" customFormat="false" ht="23.85" hidden="false" customHeight="false" outlineLevel="0" collapsed="false">
      <c r="A31" s="2" t="s">
        <v>269</v>
      </c>
      <c r="B31" s="2" t="n">
        <v>1</v>
      </c>
      <c r="C31" s="7" t="n">
        <v>1.3</v>
      </c>
      <c r="D31" s="7" t="n">
        <v>0.7</v>
      </c>
      <c r="E31" s="16" t="s">
        <v>126</v>
      </c>
      <c r="F31" s="7" t="n">
        <f aca="false">C31*D31</f>
        <v>0.91</v>
      </c>
      <c r="G31" s="2" t="s">
        <v>270</v>
      </c>
      <c r="H31" s="2" t="s">
        <v>271</v>
      </c>
      <c r="I31" s="2" t="s">
        <v>112</v>
      </c>
      <c r="J31" s="16"/>
    </row>
    <row r="32" customFormat="false" ht="23.85" hidden="false" customHeight="false" outlineLevel="0" collapsed="false">
      <c r="A32" s="17" t="s">
        <v>272</v>
      </c>
      <c r="B32" s="17" t="n">
        <v>1</v>
      </c>
      <c r="C32" s="18" t="n">
        <v>1.3</v>
      </c>
      <c r="D32" s="18" t="n">
        <v>0.7</v>
      </c>
      <c r="E32" s="19" t="s">
        <v>126</v>
      </c>
      <c r="F32" s="18" t="n">
        <f aca="false">C32*D32</f>
        <v>0.91</v>
      </c>
      <c r="G32" s="17" t="s">
        <v>273</v>
      </c>
      <c r="H32" s="17" t="s">
        <v>271</v>
      </c>
      <c r="I32" s="17" t="s">
        <v>112</v>
      </c>
      <c r="J32" s="19"/>
    </row>
    <row r="34" customFormat="false" ht="23.85" hidden="false" customHeight="false" outlineLevel="0" collapsed="false">
      <c r="A34" s="6" t="s">
        <v>27</v>
      </c>
      <c r="B34" s="6"/>
      <c r="C34" s="12" t="n">
        <v>3</v>
      </c>
      <c r="D34" s="12" t="n">
        <v>5.95</v>
      </c>
      <c r="E34" s="6"/>
      <c r="F34" s="12" t="n">
        <f aca="false">C34*D34</f>
        <v>17.85</v>
      </c>
      <c r="G34" s="6"/>
      <c r="H34" s="6" t="str">
        <f aca="false">"Los equipos ocupan "&amp;TEXT(SUM(F35:F40),"0.0")&amp;" m² ("&amp;TEXT(SUM(F35:F40)/F34,"0%")&amp;")"</f>
        <v>Los equipos ocupan 9.2 m² (51%)</v>
      </c>
      <c r="I34" s="6" t="s">
        <v>112</v>
      </c>
      <c r="J34" s="6"/>
    </row>
    <row r="35" customFormat="false" ht="15" hidden="false" customHeight="false" outlineLevel="0" collapsed="false">
      <c r="A35" s="2" t="s">
        <v>274</v>
      </c>
      <c r="B35" s="2" t="n">
        <v>1</v>
      </c>
      <c r="C35" s="7" t="n">
        <v>2.6</v>
      </c>
      <c r="D35" s="7" t="n">
        <v>1.4</v>
      </c>
      <c r="E35" s="16" t="s">
        <v>126</v>
      </c>
      <c r="F35" s="7" t="n">
        <f aca="false">C35*D35</f>
        <v>3.64</v>
      </c>
      <c r="G35" s="2" t="s">
        <v>275</v>
      </c>
      <c r="H35" s="2"/>
      <c r="I35" s="2" t="s">
        <v>112</v>
      </c>
      <c r="J35" s="16"/>
    </row>
    <row r="36" customFormat="false" ht="15" hidden="false" customHeight="false" outlineLevel="0" collapsed="false">
      <c r="A36" s="2" t="s">
        <v>276</v>
      </c>
      <c r="B36" s="2" t="n">
        <v>1</v>
      </c>
      <c r="C36" s="7" t="n">
        <v>0.5</v>
      </c>
      <c r="D36" s="7" t="n">
        <v>0.6</v>
      </c>
      <c r="E36" s="16" t="s">
        <v>126</v>
      </c>
      <c r="F36" s="7" t="n">
        <f aca="false">C36*D36</f>
        <v>0.3</v>
      </c>
      <c r="G36" s="2" t="s">
        <v>277</v>
      </c>
      <c r="H36" s="2"/>
      <c r="I36" s="2" t="s">
        <v>112</v>
      </c>
      <c r="J36" s="16" t="s">
        <v>278</v>
      </c>
    </row>
    <row r="37" customFormat="false" ht="23.85" hidden="false" customHeight="false" outlineLevel="0" collapsed="false">
      <c r="A37" s="2" t="s">
        <v>279</v>
      </c>
      <c r="B37" s="2" t="n">
        <v>2</v>
      </c>
      <c r="C37" s="7" t="n">
        <v>2.4</v>
      </c>
      <c r="D37" s="7" t="n">
        <v>0.6</v>
      </c>
      <c r="E37" s="7" t="n">
        <v>2</v>
      </c>
      <c r="F37" s="7" t="n">
        <f aca="false">C37*D37</f>
        <v>1.44</v>
      </c>
      <c r="G37" s="2" t="s">
        <v>254</v>
      </c>
      <c r="H37" s="2" t="s">
        <v>280</v>
      </c>
      <c r="I37" s="2" t="s">
        <v>145</v>
      </c>
      <c r="J37" s="16"/>
    </row>
    <row r="38" customFormat="false" ht="23.85" hidden="false" customHeight="false" outlineLevel="0" collapsed="false">
      <c r="A38" s="2" t="s">
        <v>281</v>
      </c>
      <c r="B38" s="2" t="n">
        <v>2</v>
      </c>
      <c r="C38" s="7" t="n">
        <v>0.6</v>
      </c>
      <c r="D38" s="7" t="n">
        <v>2.4</v>
      </c>
      <c r="E38" s="7" t="n">
        <v>2</v>
      </c>
      <c r="F38" s="7" t="n">
        <f aca="false">C38*D38</f>
        <v>1.44</v>
      </c>
      <c r="G38" s="2" t="s">
        <v>282</v>
      </c>
      <c r="H38" s="2" t="s">
        <v>280</v>
      </c>
      <c r="I38" s="2" t="s">
        <v>145</v>
      </c>
      <c r="J38" s="16"/>
    </row>
    <row r="39" customFormat="false" ht="23.85" hidden="false" customHeight="false" outlineLevel="0" collapsed="false">
      <c r="A39" s="2" t="s">
        <v>283</v>
      </c>
      <c r="B39" s="2" t="n">
        <v>2</v>
      </c>
      <c r="C39" s="7" t="n">
        <v>0.6</v>
      </c>
      <c r="D39" s="7" t="n">
        <v>2.4</v>
      </c>
      <c r="E39" s="7" t="n">
        <v>2</v>
      </c>
      <c r="F39" s="7" t="n">
        <f aca="false">C39*D39</f>
        <v>1.44</v>
      </c>
      <c r="G39" s="2" t="s">
        <v>172</v>
      </c>
      <c r="H39" s="2" t="s">
        <v>280</v>
      </c>
      <c r="I39" s="2" t="s">
        <v>145</v>
      </c>
      <c r="J39" s="16"/>
    </row>
    <row r="40" customFormat="false" ht="23.85" hidden="false" customHeight="false" outlineLevel="0" collapsed="false">
      <c r="A40" s="17" t="s">
        <v>284</v>
      </c>
      <c r="B40" s="17" t="n">
        <v>1</v>
      </c>
      <c r="C40" s="18" t="n">
        <v>0.7</v>
      </c>
      <c r="D40" s="18" t="n">
        <v>1.3</v>
      </c>
      <c r="E40" s="19" t="s">
        <v>126</v>
      </c>
      <c r="F40" s="18" t="n">
        <f aca="false">C40*D40</f>
        <v>0.91</v>
      </c>
      <c r="G40" s="17" t="s">
        <v>213</v>
      </c>
      <c r="H40" s="17" t="s">
        <v>271</v>
      </c>
      <c r="I40" s="17" t="s">
        <v>145</v>
      </c>
      <c r="J40" s="19" t="s">
        <v>285</v>
      </c>
    </row>
    <row r="42" customFormat="false" ht="15" hidden="false" customHeight="false" outlineLevel="0" collapsed="false">
      <c r="A42" s="6" t="s">
        <v>28</v>
      </c>
      <c r="B42" s="6"/>
      <c r="C42" s="12" t="n">
        <v>3.6</v>
      </c>
      <c r="D42" s="12" t="n">
        <v>6</v>
      </c>
      <c r="E42" s="6"/>
      <c r="F42" s="12" t="n">
        <f aca="false">C42*D42</f>
        <v>21.6</v>
      </c>
      <c r="G42" s="6"/>
      <c r="H42" s="6" t="str">
        <f aca="false">"Los equipos ocupan "&amp;TEXT(SUM(F43:F46),"0.0")&amp;" m² ("&amp;TEXT(SUM(F43:F46)/F42,"0%")&amp;")"</f>
        <v>Los equipos ocupan 5.6 m² (26%)</v>
      </c>
      <c r="I42" s="6" t="s">
        <v>112</v>
      </c>
      <c r="J42" s="6"/>
    </row>
    <row r="43" customFormat="false" ht="15" hidden="false" customHeight="false" outlineLevel="0" collapsed="false">
      <c r="A43" s="2" t="s">
        <v>286</v>
      </c>
      <c r="B43" s="2" t="n">
        <v>1</v>
      </c>
      <c r="C43" s="7" t="n">
        <v>2.6</v>
      </c>
      <c r="D43" s="7" t="n">
        <v>1.4</v>
      </c>
      <c r="E43" s="16" t="s">
        <v>126</v>
      </c>
      <c r="F43" s="7" t="n">
        <f aca="false">C43*D43</f>
        <v>3.64</v>
      </c>
      <c r="G43" s="2" t="s">
        <v>275</v>
      </c>
      <c r="H43" s="2"/>
      <c r="I43" s="2" t="s">
        <v>112</v>
      </c>
      <c r="J43" s="16"/>
    </row>
    <row r="44" customFormat="false" ht="15" hidden="false" customHeight="false" outlineLevel="0" collapsed="false">
      <c r="A44" s="2" t="s">
        <v>276</v>
      </c>
      <c r="B44" s="2" t="n">
        <v>1</v>
      </c>
      <c r="C44" s="7" t="n">
        <v>0.5</v>
      </c>
      <c r="D44" s="7" t="n">
        <v>0.6</v>
      </c>
      <c r="E44" s="16" t="s">
        <v>126</v>
      </c>
      <c r="F44" s="7" t="n">
        <f aca="false">C44*D44</f>
        <v>0.3</v>
      </c>
      <c r="G44" s="2" t="s">
        <v>277</v>
      </c>
      <c r="H44" s="2"/>
      <c r="I44" s="2" t="s">
        <v>112</v>
      </c>
      <c r="J44" s="16" t="s">
        <v>278</v>
      </c>
    </row>
    <row r="45" customFormat="false" ht="23.85" hidden="false" customHeight="false" outlineLevel="0" collapsed="false">
      <c r="A45" s="2" t="s">
        <v>287</v>
      </c>
      <c r="B45" s="2" t="n">
        <v>1</v>
      </c>
      <c r="C45" s="7" t="n">
        <v>1.2</v>
      </c>
      <c r="D45" s="7" t="n">
        <v>0.6</v>
      </c>
      <c r="E45" s="7" t="n">
        <v>2</v>
      </c>
      <c r="F45" s="7" t="n">
        <f aca="false">C45*D45</f>
        <v>0.72</v>
      </c>
      <c r="G45" s="2" t="s">
        <v>254</v>
      </c>
      <c r="H45" s="2" t="s">
        <v>280</v>
      </c>
      <c r="I45" s="2" t="s">
        <v>145</v>
      </c>
      <c r="J45" s="16"/>
    </row>
    <row r="46" customFormat="false" ht="23.85" hidden="false" customHeight="false" outlineLevel="0" collapsed="false">
      <c r="A46" s="17" t="s">
        <v>288</v>
      </c>
      <c r="B46" s="17" t="n">
        <v>1</v>
      </c>
      <c r="C46" s="18" t="n">
        <v>0.7</v>
      </c>
      <c r="D46" s="18" t="n">
        <v>1.3</v>
      </c>
      <c r="E46" s="19" t="s">
        <v>126</v>
      </c>
      <c r="F46" s="18" t="n">
        <f aca="false">C46*D46</f>
        <v>0.91</v>
      </c>
      <c r="G46" s="17" t="s">
        <v>213</v>
      </c>
      <c r="H46" s="17" t="s">
        <v>271</v>
      </c>
      <c r="I46" s="17" t="s">
        <v>112</v>
      </c>
      <c r="J46" s="19"/>
    </row>
    <row r="48" customFormat="false" ht="15" hidden="false" customHeight="false" outlineLevel="0" collapsed="false">
      <c r="A48" s="6" t="s">
        <v>29</v>
      </c>
      <c r="B48" s="6"/>
      <c r="C48" s="12" t="n">
        <v>4</v>
      </c>
      <c r="D48" s="12" t="n">
        <v>4.45</v>
      </c>
      <c r="E48" s="6"/>
      <c r="F48" s="12" t="n">
        <f aca="false">C48*D48</f>
        <v>17.8</v>
      </c>
      <c r="G48" s="6"/>
      <c r="H48" s="6" t="str">
        <f aca="false">"Los equipos ocupan "&amp;TEXT(SUM(F49:F53),"0.0")&amp;" m² ("&amp;TEXT(SUM(F49:F53)/F48,"0%")&amp;")"</f>
        <v>Los equipos ocupan 6.9 m² (39%)</v>
      </c>
      <c r="I48" s="6" t="s">
        <v>112</v>
      </c>
      <c r="J48" s="6"/>
    </row>
    <row r="49" customFormat="false" ht="15" hidden="false" customHeight="false" outlineLevel="0" collapsed="false">
      <c r="A49" s="2" t="s">
        <v>289</v>
      </c>
      <c r="B49" s="2" t="n">
        <v>1</v>
      </c>
      <c r="C49" s="7" t="n">
        <v>1.4</v>
      </c>
      <c r="D49" s="7" t="n">
        <v>1.2</v>
      </c>
      <c r="E49" s="16" t="s">
        <v>126</v>
      </c>
      <c r="F49" s="7" t="n">
        <f aca="false">C49*D49</f>
        <v>1.68</v>
      </c>
      <c r="G49" s="2" t="s">
        <v>178</v>
      </c>
      <c r="H49" s="2" t="s">
        <v>290</v>
      </c>
      <c r="I49" s="2" t="s">
        <v>112</v>
      </c>
      <c r="J49" s="16"/>
    </row>
    <row r="50" customFormat="false" ht="23.85" hidden="false" customHeight="false" outlineLevel="0" collapsed="false">
      <c r="A50" s="2" t="s">
        <v>291</v>
      </c>
      <c r="B50" s="2" t="n">
        <v>3</v>
      </c>
      <c r="C50" s="7" t="n">
        <v>3.6</v>
      </c>
      <c r="D50" s="7" t="n">
        <v>0.6</v>
      </c>
      <c r="E50" s="7" t="n">
        <v>2</v>
      </c>
      <c r="F50" s="7" t="n">
        <f aca="false">C50*D50</f>
        <v>2.16</v>
      </c>
      <c r="G50" s="2" t="s">
        <v>292</v>
      </c>
      <c r="H50" s="2" t="s">
        <v>280</v>
      </c>
      <c r="I50" s="2" t="s">
        <v>145</v>
      </c>
      <c r="J50" s="16"/>
    </row>
    <row r="51" customFormat="false" ht="23.85" hidden="false" customHeight="false" outlineLevel="0" collapsed="false">
      <c r="A51" s="2" t="s">
        <v>293</v>
      </c>
      <c r="B51" s="2" t="n">
        <v>1</v>
      </c>
      <c r="C51" s="7" t="n">
        <v>0.6</v>
      </c>
      <c r="D51" s="7" t="n">
        <v>1.2</v>
      </c>
      <c r="E51" s="7" t="n">
        <v>2</v>
      </c>
      <c r="F51" s="7" t="n">
        <f aca="false">C51*D51</f>
        <v>0.72</v>
      </c>
      <c r="G51" s="2" t="s">
        <v>172</v>
      </c>
      <c r="H51" s="2" t="s">
        <v>280</v>
      </c>
      <c r="I51" s="2" t="s">
        <v>145</v>
      </c>
      <c r="J51" s="16"/>
    </row>
    <row r="52" customFormat="false" ht="35.05" hidden="false" customHeight="false" outlineLevel="0" collapsed="false">
      <c r="A52" s="2" t="s">
        <v>294</v>
      </c>
      <c r="B52" s="2" t="n">
        <v>2</v>
      </c>
      <c r="C52" s="7" t="n">
        <v>0.6</v>
      </c>
      <c r="D52" s="7" t="n">
        <v>2.4</v>
      </c>
      <c r="E52" s="7" t="n">
        <v>2</v>
      </c>
      <c r="F52" s="7" t="n">
        <f aca="false">C52*D52</f>
        <v>1.44</v>
      </c>
      <c r="G52" s="2" t="s">
        <v>282</v>
      </c>
      <c r="H52" s="2" t="s">
        <v>295</v>
      </c>
      <c r="I52" s="2" t="s">
        <v>145</v>
      </c>
      <c r="J52" s="16"/>
    </row>
    <row r="53" customFormat="false" ht="23.85" hidden="false" customHeight="false" outlineLevel="0" collapsed="false">
      <c r="A53" s="17" t="s">
        <v>296</v>
      </c>
      <c r="B53" s="17" t="n">
        <v>1</v>
      </c>
      <c r="C53" s="18" t="n">
        <v>0.7</v>
      </c>
      <c r="D53" s="18" t="n">
        <v>1.3</v>
      </c>
      <c r="E53" s="19" t="s">
        <v>126</v>
      </c>
      <c r="F53" s="18" t="n">
        <f aca="false">C53*D53</f>
        <v>0.91</v>
      </c>
      <c r="G53" s="17" t="s">
        <v>163</v>
      </c>
      <c r="H53" s="17" t="s">
        <v>271</v>
      </c>
      <c r="I53" s="17" t="s">
        <v>112</v>
      </c>
      <c r="J53" s="19"/>
    </row>
    <row r="55" customFormat="false" ht="15" hidden="false" customHeight="false" outlineLevel="0" collapsed="false">
      <c r="A55" s="6" t="s">
        <v>30</v>
      </c>
      <c r="B55" s="6"/>
      <c r="C55" s="12" t="n">
        <v>2.8</v>
      </c>
      <c r="D55" s="12" t="n">
        <v>4.45</v>
      </c>
      <c r="E55" s="6"/>
      <c r="F55" s="12" t="n">
        <f aca="false">C55*D55</f>
        <v>12.46</v>
      </c>
      <c r="G55" s="6"/>
      <c r="H55" s="6" t="str">
        <f aca="false">"Los equipos ocupan "&amp;TEXT(SUM(F56:F58),"0.0")&amp;" m² ("&amp;TEXT(SUM(F56:F58)/F55,"0%")&amp;")"</f>
        <v>Los equipos ocupan 4.7 m² (38%)</v>
      </c>
      <c r="I55" s="6" t="s">
        <v>112</v>
      </c>
      <c r="J55" s="6"/>
    </row>
    <row r="56" customFormat="false" ht="15" hidden="false" customHeight="false" outlineLevel="0" collapsed="false">
      <c r="A56" s="2" t="s">
        <v>297</v>
      </c>
      <c r="B56" s="2" t="n">
        <v>1</v>
      </c>
      <c r="C56" s="7" t="n">
        <v>1.1</v>
      </c>
      <c r="D56" s="7" t="n">
        <v>1</v>
      </c>
      <c r="E56" s="16" t="s">
        <v>126</v>
      </c>
      <c r="F56" s="7" t="n">
        <f aca="false">C56*D56</f>
        <v>1.1</v>
      </c>
      <c r="G56" s="2" t="s">
        <v>178</v>
      </c>
      <c r="H56" s="2"/>
      <c r="I56" s="2" t="s">
        <v>112</v>
      </c>
      <c r="J56" s="16"/>
    </row>
    <row r="57" customFormat="false" ht="23.85" hidden="false" customHeight="false" outlineLevel="0" collapsed="false">
      <c r="A57" s="2" t="s">
        <v>298</v>
      </c>
      <c r="B57" s="2" t="n">
        <v>1</v>
      </c>
      <c r="C57" s="7" t="n">
        <v>1.5</v>
      </c>
      <c r="D57" s="7" t="n">
        <v>1.8</v>
      </c>
      <c r="E57" s="16" t="s">
        <v>126</v>
      </c>
      <c r="F57" s="7" t="n">
        <f aca="false">C57*D57</f>
        <v>2.7</v>
      </c>
      <c r="G57" s="2" t="s">
        <v>299</v>
      </c>
      <c r="H57" s="2" t="s">
        <v>300</v>
      </c>
      <c r="I57" s="2" t="s">
        <v>145</v>
      </c>
      <c r="J57" s="16" t="s">
        <v>301</v>
      </c>
    </row>
    <row r="58" customFormat="false" ht="23.85" hidden="false" customHeight="false" outlineLevel="0" collapsed="false">
      <c r="A58" s="17" t="s">
        <v>302</v>
      </c>
      <c r="B58" s="17" t="n">
        <v>1</v>
      </c>
      <c r="C58" s="18" t="n">
        <v>0.7</v>
      </c>
      <c r="D58" s="18" t="n">
        <v>1.3</v>
      </c>
      <c r="E58" s="19" t="s">
        <v>126</v>
      </c>
      <c r="F58" s="18" t="n">
        <f aca="false">C58*D58</f>
        <v>0.91</v>
      </c>
      <c r="G58" s="17" t="s">
        <v>213</v>
      </c>
      <c r="H58" s="17" t="s">
        <v>271</v>
      </c>
      <c r="I58" s="17" t="s">
        <v>112</v>
      </c>
      <c r="J58" s="19"/>
    </row>
    <row r="60" customFormat="false" ht="23.85" hidden="false" customHeight="false" outlineLevel="0" collapsed="false">
      <c r="A60" s="6" t="s">
        <v>31</v>
      </c>
      <c r="B60" s="6"/>
      <c r="C60" s="12" t="n">
        <v>4.6</v>
      </c>
      <c r="D60" s="12" t="n">
        <v>5.95</v>
      </c>
      <c r="E60" s="6"/>
      <c r="F60" s="12" t="n">
        <f aca="false">C60*D60</f>
        <v>27.37</v>
      </c>
      <c r="G60" s="6"/>
      <c r="H60" s="6" t="str">
        <f aca="false">"Los equipos ocupan "&amp;TEXT(SUM(F61:F67),"0.0")&amp;" m² ("&amp;TEXT(SUM(F61:F67)/F60,"0%")&amp;")"</f>
        <v>Los equipos ocupan 12.7 m² (46%)</v>
      </c>
      <c r="I60" s="6" t="s">
        <v>112</v>
      </c>
      <c r="J60" s="6"/>
    </row>
    <row r="61" customFormat="false" ht="15" hidden="false" customHeight="false" outlineLevel="0" collapsed="false">
      <c r="A61" s="2" t="s">
        <v>303</v>
      </c>
      <c r="B61" s="2" t="n">
        <v>1</v>
      </c>
      <c r="C61" s="7" t="n">
        <v>2</v>
      </c>
      <c r="D61" s="7" t="n">
        <v>1.5</v>
      </c>
      <c r="E61" s="16" t="s">
        <v>126</v>
      </c>
      <c r="F61" s="7" t="n">
        <f aca="false">C61*D61</f>
        <v>3</v>
      </c>
      <c r="G61" s="2" t="s">
        <v>304</v>
      </c>
      <c r="H61" s="2" t="s">
        <v>305</v>
      </c>
      <c r="I61" s="2" t="s">
        <v>112</v>
      </c>
      <c r="J61" s="16"/>
    </row>
    <row r="62" customFormat="false" ht="15" hidden="false" customHeight="false" outlineLevel="0" collapsed="false">
      <c r="A62" s="2" t="s">
        <v>306</v>
      </c>
      <c r="B62" s="2" t="n">
        <v>1</v>
      </c>
      <c r="C62" s="7" t="n">
        <v>2</v>
      </c>
      <c r="D62" s="7" t="n">
        <v>1.5</v>
      </c>
      <c r="E62" s="16" t="s">
        <v>126</v>
      </c>
      <c r="F62" s="7" t="n">
        <f aca="false">C62*D62</f>
        <v>3</v>
      </c>
      <c r="G62" s="2" t="s">
        <v>307</v>
      </c>
      <c r="H62" s="2" t="s">
        <v>305</v>
      </c>
      <c r="I62" s="2" t="s">
        <v>112</v>
      </c>
      <c r="J62" s="16"/>
    </row>
    <row r="63" customFormat="false" ht="23.85" hidden="false" customHeight="false" outlineLevel="0" collapsed="false">
      <c r="A63" s="2" t="s">
        <v>308</v>
      </c>
      <c r="B63" s="2" t="n">
        <v>3</v>
      </c>
      <c r="C63" s="7" t="n">
        <v>3.6</v>
      </c>
      <c r="D63" s="7" t="n">
        <v>0.6</v>
      </c>
      <c r="E63" s="7" t="n">
        <v>2</v>
      </c>
      <c r="F63" s="7" t="n">
        <f aca="false">C63*D63</f>
        <v>2.16</v>
      </c>
      <c r="G63" s="2" t="s">
        <v>254</v>
      </c>
      <c r="H63" s="2" t="s">
        <v>280</v>
      </c>
      <c r="I63" s="2" t="s">
        <v>145</v>
      </c>
      <c r="J63" s="16"/>
    </row>
    <row r="64" customFormat="false" ht="23.85" hidden="false" customHeight="false" outlineLevel="0" collapsed="false">
      <c r="A64" s="2" t="s">
        <v>309</v>
      </c>
      <c r="B64" s="2" t="n">
        <v>2</v>
      </c>
      <c r="C64" s="7" t="n">
        <v>0.6</v>
      </c>
      <c r="D64" s="7" t="n">
        <v>2.4</v>
      </c>
      <c r="E64" s="7" t="n">
        <v>2</v>
      </c>
      <c r="F64" s="7" t="n">
        <f aca="false">C64*D64</f>
        <v>1.44</v>
      </c>
      <c r="G64" s="2" t="s">
        <v>282</v>
      </c>
      <c r="H64" s="2" t="s">
        <v>280</v>
      </c>
      <c r="I64" s="2" t="s">
        <v>145</v>
      </c>
      <c r="J64" s="16"/>
    </row>
    <row r="65" customFormat="false" ht="23.85" hidden="false" customHeight="false" outlineLevel="0" collapsed="false">
      <c r="A65" s="2" t="s">
        <v>310</v>
      </c>
      <c r="B65" s="2" t="n">
        <v>2</v>
      </c>
      <c r="C65" s="7" t="n">
        <v>0.6</v>
      </c>
      <c r="D65" s="7" t="n">
        <v>2.4</v>
      </c>
      <c r="E65" s="7" t="n">
        <v>2</v>
      </c>
      <c r="F65" s="7" t="n">
        <f aca="false">C65*D65</f>
        <v>1.44</v>
      </c>
      <c r="G65" s="2" t="s">
        <v>172</v>
      </c>
      <c r="H65" s="2" t="s">
        <v>280</v>
      </c>
      <c r="I65" s="2" t="s">
        <v>145</v>
      </c>
      <c r="J65" s="16"/>
    </row>
    <row r="66" customFormat="false" ht="23.85" hidden="false" customHeight="false" outlineLevel="0" collapsed="false">
      <c r="A66" s="2" t="s">
        <v>311</v>
      </c>
      <c r="B66" s="2" t="n">
        <v>1</v>
      </c>
      <c r="C66" s="7" t="n">
        <v>0.6</v>
      </c>
      <c r="D66" s="7" t="n">
        <v>1.2</v>
      </c>
      <c r="E66" s="7" t="n">
        <v>2</v>
      </c>
      <c r="F66" s="7" t="n">
        <f aca="false">C66*D66</f>
        <v>0.72</v>
      </c>
      <c r="G66" s="2" t="s">
        <v>312</v>
      </c>
      <c r="H66" s="2" t="s">
        <v>313</v>
      </c>
      <c r="I66" s="2" t="s">
        <v>145</v>
      </c>
      <c r="J66" s="16"/>
    </row>
    <row r="67" customFormat="false" ht="23.85" hidden="false" customHeight="false" outlineLevel="0" collapsed="false">
      <c r="A67" s="17" t="s">
        <v>314</v>
      </c>
      <c r="B67" s="17" t="n">
        <v>1</v>
      </c>
      <c r="C67" s="18" t="n">
        <v>0.7</v>
      </c>
      <c r="D67" s="18" t="n">
        <v>1.3</v>
      </c>
      <c r="E67" s="19" t="s">
        <v>126</v>
      </c>
      <c r="F67" s="18" t="n">
        <f aca="false">C67*D67</f>
        <v>0.91</v>
      </c>
      <c r="G67" s="17" t="s">
        <v>213</v>
      </c>
      <c r="H67" s="17" t="s">
        <v>271</v>
      </c>
      <c r="I67" s="17" t="s">
        <v>112</v>
      </c>
      <c r="J67" s="19"/>
    </row>
    <row r="69" customFormat="false" ht="15" hidden="false" customHeight="false" outlineLevel="0" collapsed="false">
      <c r="A69" s="6" t="s">
        <v>32</v>
      </c>
      <c r="B69" s="6"/>
      <c r="C69" s="12" t="n">
        <v>1.6</v>
      </c>
      <c r="D69" s="12" t="n">
        <v>5.95</v>
      </c>
      <c r="E69" s="6"/>
      <c r="F69" s="12" t="n">
        <f aca="false">C69*D69</f>
        <v>9.52</v>
      </c>
      <c r="G69" s="6"/>
      <c r="H69" s="6" t="str">
        <f aca="false">"Los equipos ocupan "&amp;TEXT(SUM(F70:F71),"0.0")&amp;" m² ("&amp;TEXT(SUM(F70:F71)/F69,"0%")&amp;")"</f>
        <v>Los equipos ocupan 2.1 m² (22%)</v>
      </c>
      <c r="I69" s="6" t="s">
        <v>112</v>
      </c>
      <c r="J69" s="6"/>
    </row>
    <row r="70" customFormat="false" ht="15" hidden="false" customHeight="false" outlineLevel="0" collapsed="false">
      <c r="A70" s="2" t="s">
        <v>315</v>
      </c>
      <c r="B70" s="2" t="n">
        <v>1</v>
      </c>
      <c r="C70" s="7" t="n">
        <v>1.6</v>
      </c>
      <c r="D70" s="7" t="n">
        <v>0.8</v>
      </c>
      <c r="E70" s="16" t="s">
        <v>126</v>
      </c>
      <c r="F70" s="7" t="n">
        <f aca="false">C70*D70</f>
        <v>1.28</v>
      </c>
      <c r="G70" s="2" t="s">
        <v>299</v>
      </c>
      <c r="H70" s="2"/>
      <c r="I70" s="2" t="s">
        <v>112</v>
      </c>
      <c r="J70" s="16"/>
    </row>
    <row r="71" customFormat="false" ht="15" hidden="false" customHeight="false" outlineLevel="0" collapsed="false">
      <c r="A71" s="17" t="s">
        <v>316</v>
      </c>
      <c r="B71" s="17" t="n">
        <v>1</v>
      </c>
      <c r="C71" s="18" t="n">
        <v>1.6</v>
      </c>
      <c r="D71" s="18" t="n">
        <v>0.5</v>
      </c>
      <c r="E71" s="17" t="s">
        <v>122</v>
      </c>
      <c r="F71" s="18" t="n">
        <f aca="false">C71*D71</f>
        <v>0.8</v>
      </c>
      <c r="G71" s="17" t="s">
        <v>292</v>
      </c>
      <c r="H71" s="17" t="s">
        <v>317</v>
      </c>
      <c r="I71" s="17" t="s">
        <v>112</v>
      </c>
      <c r="J71" s="19"/>
    </row>
    <row r="73" customFormat="false" ht="15" hidden="false" customHeight="false" outlineLevel="0" collapsed="false">
      <c r="A73" s="6" t="s">
        <v>33</v>
      </c>
      <c r="B73" s="6"/>
      <c r="C73" s="12" t="n">
        <v>10.3</v>
      </c>
      <c r="D73" s="12" t="n">
        <v>4.45</v>
      </c>
      <c r="E73" s="6"/>
      <c r="F73" s="12" t="n">
        <f aca="false">C73*D73</f>
        <v>45.835</v>
      </c>
      <c r="G73" s="6"/>
      <c r="H73" s="6" t="str">
        <f aca="false">"Los equipos ocupan "&amp;TEXT(SUM(F74:F88),"0.0")&amp;" m² ("&amp;TEXT(SUM(F74:F88)/F73,"0%")&amp;")"</f>
        <v>Los equipos ocupan 21.2 m² (46%)</v>
      </c>
      <c r="I73" s="6" t="s">
        <v>112</v>
      </c>
      <c r="J73" s="6"/>
    </row>
    <row r="74" customFormat="false" ht="15" hidden="false" customHeight="false" outlineLevel="0" collapsed="false">
      <c r="A74" s="15" t="s">
        <v>318</v>
      </c>
      <c r="B74" s="15"/>
      <c r="C74" s="15"/>
      <c r="D74" s="15"/>
      <c r="E74" s="15"/>
      <c r="F74" s="15"/>
      <c r="G74" s="15"/>
      <c r="H74" s="15"/>
      <c r="I74" s="15" t="s">
        <v>114</v>
      </c>
      <c r="J74" s="15"/>
    </row>
    <row r="75" customFormat="false" ht="15" hidden="false" customHeight="false" outlineLevel="0" collapsed="false">
      <c r="A75" s="2" t="s">
        <v>319</v>
      </c>
      <c r="B75" s="2" t="n">
        <v>1</v>
      </c>
      <c r="C75" s="7" t="n">
        <v>3.2</v>
      </c>
      <c r="D75" s="7" t="n">
        <v>1.5</v>
      </c>
      <c r="E75" s="16" t="s">
        <v>126</v>
      </c>
      <c r="F75" s="7" t="n">
        <f aca="false">C75*D75</f>
        <v>4.8</v>
      </c>
      <c r="G75" s="2" t="s">
        <v>195</v>
      </c>
      <c r="H75" s="2"/>
      <c r="I75" s="2" t="s">
        <v>112</v>
      </c>
      <c r="J75" s="16"/>
    </row>
    <row r="76" customFormat="false" ht="15" hidden="false" customHeight="false" outlineLevel="0" collapsed="false">
      <c r="A76" s="2" t="s">
        <v>320</v>
      </c>
      <c r="B76" s="2" t="n">
        <v>1</v>
      </c>
      <c r="C76" s="7" t="n">
        <v>2</v>
      </c>
      <c r="D76" s="7" t="n">
        <v>0.7</v>
      </c>
      <c r="E76" s="16" t="s">
        <v>126</v>
      </c>
      <c r="F76" s="7" t="n">
        <f aca="false">C76*D76</f>
        <v>1.4</v>
      </c>
      <c r="G76" s="2" t="s">
        <v>321</v>
      </c>
      <c r="H76" s="2"/>
      <c r="I76" s="2" t="s">
        <v>112</v>
      </c>
      <c r="J76" s="16"/>
    </row>
    <row r="77" customFormat="false" ht="15" hidden="false" customHeight="false" outlineLevel="0" collapsed="false">
      <c r="A77" s="2" t="s">
        <v>322</v>
      </c>
      <c r="B77" s="2" t="n">
        <v>1</v>
      </c>
      <c r="C77" s="7" t="n">
        <v>1.9</v>
      </c>
      <c r="D77" s="7" t="n">
        <v>0.7</v>
      </c>
      <c r="E77" s="16" t="s">
        <v>126</v>
      </c>
      <c r="F77" s="7" t="n">
        <f aca="false">C77*D77</f>
        <v>1.33</v>
      </c>
      <c r="G77" s="2" t="s">
        <v>323</v>
      </c>
      <c r="H77" s="2"/>
      <c r="I77" s="2" t="s">
        <v>112</v>
      </c>
      <c r="J77" s="16"/>
    </row>
    <row r="78" customFormat="false" ht="15" hidden="false" customHeight="false" outlineLevel="0" collapsed="false">
      <c r="A78" s="2" t="s">
        <v>324</v>
      </c>
      <c r="B78" s="2" t="n">
        <v>1</v>
      </c>
      <c r="C78" s="7" t="n">
        <v>1.6</v>
      </c>
      <c r="D78" s="7" t="n">
        <v>1</v>
      </c>
      <c r="E78" s="16" t="s">
        <v>126</v>
      </c>
      <c r="F78" s="7" t="n">
        <f aca="false">C78*D78</f>
        <v>1.6</v>
      </c>
      <c r="G78" s="2" t="s">
        <v>163</v>
      </c>
      <c r="H78" s="2"/>
      <c r="I78" s="2" t="s">
        <v>112</v>
      </c>
      <c r="J78" s="16"/>
    </row>
    <row r="79" customFormat="false" ht="15" hidden="false" customHeight="false" outlineLevel="0" collapsed="false">
      <c r="A79" s="2" t="s">
        <v>325</v>
      </c>
      <c r="B79" s="2" t="n">
        <v>1</v>
      </c>
      <c r="C79" s="7" t="n">
        <v>1.3</v>
      </c>
      <c r="D79" s="7" t="n">
        <v>1</v>
      </c>
      <c r="E79" s="16" t="s">
        <v>126</v>
      </c>
      <c r="F79" s="7" t="n">
        <f aca="false">C79*D79</f>
        <v>1.3</v>
      </c>
      <c r="G79" s="2" t="s">
        <v>163</v>
      </c>
      <c r="H79" s="2"/>
      <c r="I79" s="2" t="s">
        <v>112</v>
      </c>
      <c r="J79" s="16"/>
    </row>
    <row r="80" customFormat="false" ht="23.85" hidden="false" customHeight="false" outlineLevel="0" collapsed="false">
      <c r="A80" s="2" t="s">
        <v>326</v>
      </c>
      <c r="B80" s="2" t="n">
        <v>3</v>
      </c>
      <c r="C80" s="7" t="n">
        <v>3.95</v>
      </c>
      <c r="D80" s="7" t="n">
        <v>0.8</v>
      </c>
      <c r="E80" s="16" t="s">
        <v>126</v>
      </c>
      <c r="F80" s="7" t="n">
        <f aca="false">C80*D80</f>
        <v>3.16</v>
      </c>
      <c r="G80" s="2" t="s">
        <v>200</v>
      </c>
      <c r="H80" s="2" t="s">
        <v>202</v>
      </c>
      <c r="I80" s="2" t="s">
        <v>145</v>
      </c>
      <c r="J80" s="16"/>
    </row>
    <row r="81" customFormat="false" ht="15" hidden="false" customHeight="false" outlineLevel="0" collapsed="false">
      <c r="A81" s="2" t="s">
        <v>327</v>
      </c>
      <c r="B81" s="2" t="n">
        <v>1</v>
      </c>
      <c r="C81" s="7" t="n">
        <v>2.3</v>
      </c>
      <c r="D81" s="7" t="n">
        <v>1.2</v>
      </c>
      <c r="E81" s="16" t="s">
        <v>126</v>
      </c>
      <c r="F81" s="7" t="n">
        <f aca="false">C81*D81</f>
        <v>2.76</v>
      </c>
      <c r="G81" s="2" t="s">
        <v>299</v>
      </c>
      <c r="H81" s="2" t="s">
        <v>328</v>
      </c>
      <c r="I81" s="2" t="s">
        <v>112</v>
      </c>
      <c r="J81" s="16"/>
    </row>
    <row r="82" customFormat="false" ht="15" hidden="false" customHeight="false" outlineLevel="0" collapsed="false">
      <c r="A82" s="15" t="s">
        <v>329</v>
      </c>
      <c r="B82" s="15"/>
      <c r="C82" s="15"/>
      <c r="D82" s="15"/>
      <c r="E82" s="15"/>
      <c r="F82" s="15"/>
      <c r="G82" s="15"/>
      <c r="H82" s="15"/>
      <c r="I82" s="15" t="s">
        <v>114</v>
      </c>
      <c r="J82" s="15"/>
    </row>
    <row r="83" customFormat="false" ht="15" hidden="false" customHeight="false" outlineLevel="0" collapsed="false">
      <c r="A83" s="2" t="s">
        <v>330</v>
      </c>
      <c r="B83" s="2" t="n">
        <v>1</v>
      </c>
      <c r="C83" s="7" t="n">
        <v>2.15</v>
      </c>
      <c r="D83" s="7" t="n">
        <v>0.9</v>
      </c>
      <c r="E83" s="16" t="s">
        <v>126</v>
      </c>
      <c r="F83" s="7" t="n">
        <f aca="false">C83*D83</f>
        <v>1.935</v>
      </c>
      <c r="G83" s="2" t="s">
        <v>210</v>
      </c>
      <c r="H83" s="2"/>
      <c r="I83" s="2" t="s">
        <v>112</v>
      </c>
      <c r="J83" s="16"/>
    </row>
    <row r="84" customFormat="false" ht="15" hidden="false" customHeight="false" outlineLevel="0" collapsed="false">
      <c r="A84" s="2" t="s">
        <v>331</v>
      </c>
      <c r="B84" s="2" t="n">
        <v>1</v>
      </c>
      <c r="C84" s="7" t="n">
        <v>0.7</v>
      </c>
      <c r="D84" s="7" t="n">
        <v>0.7</v>
      </c>
      <c r="E84" s="16" t="s">
        <v>126</v>
      </c>
      <c r="F84" s="7" t="n">
        <f aca="false">C84*D84</f>
        <v>0.49</v>
      </c>
      <c r="G84" s="2" t="s">
        <v>183</v>
      </c>
      <c r="H84" s="2"/>
      <c r="I84" s="2" t="s">
        <v>112</v>
      </c>
      <c r="J84" s="16"/>
    </row>
    <row r="85" customFormat="false" ht="15" hidden="false" customHeight="false" outlineLevel="0" collapsed="false">
      <c r="A85" s="2" t="s">
        <v>332</v>
      </c>
      <c r="B85" s="2" t="n">
        <v>1</v>
      </c>
      <c r="C85" s="7" t="n">
        <v>0.7</v>
      </c>
      <c r="D85" s="7" t="n">
        <v>0.7</v>
      </c>
      <c r="E85" s="16" t="s">
        <v>126</v>
      </c>
      <c r="F85" s="7" t="n">
        <f aca="false">C85*D85</f>
        <v>0.49</v>
      </c>
      <c r="G85" s="2" t="s">
        <v>183</v>
      </c>
      <c r="H85" s="2"/>
      <c r="I85" s="2" t="s">
        <v>112</v>
      </c>
      <c r="J85" s="16"/>
    </row>
    <row r="86" customFormat="false" ht="15" hidden="false" customHeight="false" outlineLevel="0" collapsed="false">
      <c r="A86" s="2" t="s">
        <v>333</v>
      </c>
      <c r="B86" s="2" t="n">
        <v>1</v>
      </c>
      <c r="C86" s="7" t="n">
        <v>0.7</v>
      </c>
      <c r="D86" s="7" t="n">
        <v>0.7</v>
      </c>
      <c r="E86" s="16" t="s">
        <v>126</v>
      </c>
      <c r="F86" s="7" t="n">
        <f aca="false">C86*D86</f>
        <v>0.49</v>
      </c>
      <c r="G86" s="2" t="s">
        <v>183</v>
      </c>
      <c r="H86" s="2"/>
      <c r="I86" s="2" t="s">
        <v>112</v>
      </c>
      <c r="J86" s="16"/>
    </row>
    <row r="87" customFormat="false" ht="15" hidden="false" customHeight="false" outlineLevel="0" collapsed="false">
      <c r="A87" s="15" t="s">
        <v>334</v>
      </c>
      <c r="B87" s="15"/>
      <c r="C87" s="15"/>
      <c r="D87" s="15"/>
      <c r="E87" s="15"/>
      <c r="F87" s="15"/>
      <c r="G87" s="15"/>
      <c r="H87" s="15"/>
      <c r="I87" s="15" t="s">
        <v>114</v>
      </c>
      <c r="J87" s="15"/>
    </row>
    <row r="88" customFormat="false" ht="15" hidden="false" customHeight="false" outlineLevel="0" collapsed="false">
      <c r="A88" s="17" t="s">
        <v>335</v>
      </c>
      <c r="B88" s="17" t="n">
        <v>1</v>
      </c>
      <c r="C88" s="18" t="n">
        <v>1.8</v>
      </c>
      <c r="D88" s="18" t="n">
        <v>0.8</v>
      </c>
      <c r="E88" s="19" t="s">
        <v>126</v>
      </c>
      <c r="F88" s="18" t="n">
        <f aca="false">C88*D88</f>
        <v>1.44</v>
      </c>
      <c r="G88" s="17" t="s">
        <v>262</v>
      </c>
      <c r="H88" s="17"/>
      <c r="I88" s="17" t="s">
        <v>112</v>
      </c>
      <c r="J88" s="19"/>
    </row>
    <row r="90" customFormat="false" ht="15" hidden="false" customHeight="false" outlineLevel="0" collapsed="false">
      <c r="A90" s="6" t="s">
        <v>34</v>
      </c>
      <c r="B90" s="6"/>
      <c r="C90" s="12" t="n">
        <v>10.3</v>
      </c>
      <c r="D90" s="12" t="n">
        <v>8.85</v>
      </c>
      <c r="E90" s="6"/>
      <c r="F90" s="12" t="n">
        <f aca="false">C90*D90</f>
        <v>91.155</v>
      </c>
      <c r="G90" s="6"/>
      <c r="H90" s="6" t="str">
        <f aca="false">"Los equipos ocupan "&amp;TEXT(SUM(F91:F98),"0.0")&amp;" m² ("&amp;TEXT(SUM(F91:F98)/F90,"0%")&amp;")"</f>
        <v>Los equipos ocupan 67.0 m² (73%)</v>
      </c>
      <c r="I90" s="6" t="s">
        <v>112</v>
      </c>
      <c r="J90" s="6"/>
    </row>
    <row r="91" customFormat="false" ht="15" hidden="false" customHeight="false" outlineLevel="0" collapsed="false">
      <c r="A91" s="2" t="s">
        <v>336</v>
      </c>
      <c r="B91" s="2" t="n">
        <v>1</v>
      </c>
      <c r="C91" s="7" t="n">
        <v>2.4</v>
      </c>
      <c r="D91" s="7" t="n">
        <v>2</v>
      </c>
      <c r="E91" s="2" t="s">
        <v>122</v>
      </c>
      <c r="F91" s="7" t="n">
        <f aca="false">C91*D91</f>
        <v>4.8</v>
      </c>
      <c r="G91" s="2" t="s">
        <v>183</v>
      </c>
      <c r="H91" s="2"/>
      <c r="I91" s="2" t="s">
        <v>112</v>
      </c>
      <c r="J91" s="16"/>
    </row>
    <row r="92" customFormat="false" ht="15" hidden="false" customHeight="false" outlineLevel="0" collapsed="false">
      <c r="A92" s="2" t="s">
        <v>337</v>
      </c>
      <c r="B92" s="2" t="n">
        <v>1</v>
      </c>
      <c r="C92" s="7" t="n">
        <v>7.4</v>
      </c>
      <c r="D92" s="7" t="n">
        <v>2</v>
      </c>
      <c r="E92" s="16" t="s">
        <v>126</v>
      </c>
      <c r="F92" s="7" t="n">
        <f aca="false">C92*D92</f>
        <v>14.8</v>
      </c>
      <c r="G92" s="2" t="s">
        <v>299</v>
      </c>
      <c r="H92" s="2" t="s">
        <v>338</v>
      </c>
      <c r="I92" s="2" t="s">
        <v>112</v>
      </c>
      <c r="J92" s="16"/>
    </row>
    <row r="93" customFormat="false" ht="15" hidden="false" customHeight="false" outlineLevel="0" collapsed="false">
      <c r="A93" s="2" t="s">
        <v>339</v>
      </c>
      <c r="B93" s="2" t="n">
        <v>1</v>
      </c>
      <c r="C93" s="7" t="n">
        <v>7.4</v>
      </c>
      <c r="D93" s="7" t="n">
        <v>2</v>
      </c>
      <c r="E93" s="16" t="s">
        <v>126</v>
      </c>
      <c r="F93" s="7" t="n">
        <f aca="false">C93*D93</f>
        <v>14.8</v>
      </c>
      <c r="G93" s="2" t="s">
        <v>262</v>
      </c>
      <c r="H93" s="2" t="s">
        <v>340</v>
      </c>
      <c r="I93" s="2" t="s">
        <v>112</v>
      </c>
      <c r="J93" s="16"/>
    </row>
    <row r="94" customFormat="false" ht="15" hidden="false" customHeight="false" outlineLevel="0" collapsed="false">
      <c r="A94" s="2" t="s">
        <v>341</v>
      </c>
      <c r="B94" s="2" t="n">
        <v>1</v>
      </c>
      <c r="C94" s="7" t="n">
        <v>7.2</v>
      </c>
      <c r="D94" s="7" t="n">
        <v>3.5</v>
      </c>
      <c r="E94" s="16" t="s">
        <v>126</v>
      </c>
      <c r="F94" s="7" t="n">
        <f aca="false">C94*D94</f>
        <v>25.2</v>
      </c>
      <c r="G94" s="2" t="s">
        <v>216</v>
      </c>
      <c r="H94" s="2" t="s">
        <v>342</v>
      </c>
      <c r="I94" s="2" t="s">
        <v>112</v>
      </c>
      <c r="J94" s="16"/>
    </row>
    <row r="95" customFormat="false" ht="15" hidden="false" customHeight="false" outlineLevel="0" collapsed="false">
      <c r="A95" s="2" t="s">
        <v>343</v>
      </c>
      <c r="B95" s="2" t="n">
        <v>1</v>
      </c>
      <c r="C95" s="7" t="n">
        <v>0.85</v>
      </c>
      <c r="D95" s="7" t="n">
        <v>4.2</v>
      </c>
      <c r="E95" s="2" t="s">
        <v>122</v>
      </c>
      <c r="F95" s="7" t="n">
        <f aca="false">C95*D95</f>
        <v>3.57</v>
      </c>
      <c r="G95" s="2" t="s">
        <v>210</v>
      </c>
      <c r="H95" s="2"/>
      <c r="I95" s="2" t="s">
        <v>112</v>
      </c>
      <c r="J95" s="16"/>
    </row>
    <row r="96" customFormat="false" ht="15" hidden="false" customHeight="false" outlineLevel="0" collapsed="false">
      <c r="A96" s="2" t="s">
        <v>344</v>
      </c>
      <c r="B96" s="2" t="n">
        <v>1</v>
      </c>
      <c r="C96" s="7" t="n">
        <v>1.7</v>
      </c>
      <c r="D96" s="7" t="n">
        <v>0.85</v>
      </c>
      <c r="E96" s="2" t="s">
        <v>122</v>
      </c>
      <c r="F96" s="7" t="n">
        <f aca="false">C96*D96</f>
        <v>1.445</v>
      </c>
      <c r="G96" s="2" t="s">
        <v>312</v>
      </c>
      <c r="H96" s="2"/>
      <c r="I96" s="2" t="s">
        <v>112</v>
      </c>
      <c r="J96" s="16"/>
    </row>
    <row r="97" customFormat="false" ht="23.85" hidden="false" customHeight="false" outlineLevel="0" collapsed="false">
      <c r="A97" s="2" t="s">
        <v>345</v>
      </c>
      <c r="B97" s="2" t="n">
        <v>2</v>
      </c>
      <c r="C97" s="7" t="n">
        <v>2.4</v>
      </c>
      <c r="D97" s="7" t="n">
        <v>0.6</v>
      </c>
      <c r="E97" s="7" t="n">
        <v>2</v>
      </c>
      <c r="F97" s="7" t="n">
        <f aca="false">C97*D97</f>
        <v>1.44</v>
      </c>
      <c r="G97" s="2" t="s">
        <v>346</v>
      </c>
      <c r="H97" s="2" t="s">
        <v>280</v>
      </c>
      <c r="I97" s="2" t="s">
        <v>145</v>
      </c>
      <c r="J97" s="16"/>
    </row>
    <row r="98" customFormat="false" ht="15" hidden="false" customHeight="false" outlineLevel="0" collapsed="false">
      <c r="A98" s="17" t="s">
        <v>347</v>
      </c>
      <c r="B98" s="17" t="n">
        <v>1</v>
      </c>
      <c r="C98" s="18" t="n">
        <v>0.7</v>
      </c>
      <c r="D98" s="18" t="n">
        <v>1.3</v>
      </c>
      <c r="E98" s="19" t="s">
        <v>126</v>
      </c>
      <c r="F98" s="18" t="n">
        <f aca="false">C98*D98</f>
        <v>0.91</v>
      </c>
      <c r="G98" s="17" t="s">
        <v>210</v>
      </c>
      <c r="H98" s="17" t="s">
        <v>348</v>
      </c>
      <c r="I98" s="17" t="s">
        <v>145</v>
      </c>
      <c r="J98" s="19" t="s">
        <v>349</v>
      </c>
    </row>
    <row r="100" customFormat="false" ht="15" hidden="false" customHeight="false" outlineLevel="0" collapsed="false">
      <c r="A100" s="6" t="s">
        <v>35</v>
      </c>
      <c r="B100" s="6"/>
      <c r="C100" s="12" t="n">
        <v>4.9</v>
      </c>
      <c r="D100" s="12" t="n">
        <v>4.4</v>
      </c>
      <c r="E100" s="6"/>
      <c r="F100" s="12" t="n">
        <f aca="false">C100*D100</f>
        <v>21.56</v>
      </c>
      <c r="G100" s="6"/>
      <c r="H100" s="6" t="str">
        <f aca="false">"Los equipos ocupan "&amp;TEXT(SUM(F101:F105),"0.0")&amp;" m² ("&amp;TEXT(SUM(F101:F105)/F100,"0%")&amp;")"</f>
        <v>Los equipos ocupan 7.5 m² (35%)</v>
      </c>
      <c r="I100" s="6" t="s">
        <v>112</v>
      </c>
      <c r="J100" s="6"/>
    </row>
    <row r="101" customFormat="false" ht="15" hidden="false" customHeight="false" outlineLevel="0" collapsed="false">
      <c r="A101" s="2" t="s">
        <v>350</v>
      </c>
      <c r="B101" s="2" t="n">
        <v>1</v>
      </c>
      <c r="C101" s="7" t="n">
        <v>1.9</v>
      </c>
      <c r="D101" s="7" t="n">
        <v>1.5</v>
      </c>
      <c r="E101" s="16" t="s">
        <v>126</v>
      </c>
      <c r="F101" s="7" t="n">
        <f aca="false">C101*D101</f>
        <v>2.85</v>
      </c>
      <c r="G101" s="2" t="s">
        <v>312</v>
      </c>
      <c r="H101" s="2" t="s">
        <v>351</v>
      </c>
      <c r="I101" s="2" t="s">
        <v>112</v>
      </c>
      <c r="J101" s="16" t="s">
        <v>352</v>
      </c>
    </row>
    <row r="102" customFormat="false" ht="15" hidden="false" customHeight="false" outlineLevel="0" collapsed="false">
      <c r="A102" s="2" t="s">
        <v>353</v>
      </c>
      <c r="B102" s="2" t="n">
        <v>1</v>
      </c>
      <c r="C102" s="7" t="n">
        <v>1.3</v>
      </c>
      <c r="D102" s="7" t="n">
        <v>1</v>
      </c>
      <c r="E102" s="16" t="s">
        <v>126</v>
      </c>
      <c r="F102" s="7" t="n">
        <f aca="false">C102*D102</f>
        <v>1.3</v>
      </c>
      <c r="G102" s="2" t="s">
        <v>354</v>
      </c>
      <c r="H102" s="2"/>
      <c r="I102" s="2" t="s">
        <v>112</v>
      </c>
      <c r="J102" s="16"/>
    </row>
    <row r="103" customFormat="false" ht="15" hidden="false" customHeight="false" outlineLevel="0" collapsed="false">
      <c r="A103" s="2" t="s">
        <v>355</v>
      </c>
      <c r="B103" s="2" t="n">
        <v>1</v>
      </c>
      <c r="C103" s="7" t="n">
        <v>0.75</v>
      </c>
      <c r="D103" s="7" t="n">
        <v>0.65</v>
      </c>
      <c r="E103" s="16" t="s">
        <v>126</v>
      </c>
      <c r="F103" s="7" t="n">
        <f aca="false">C103*D103</f>
        <v>0.4875</v>
      </c>
      <c r="G103" s="2" t="s">
        <v>299</v>
      </c>
      <c r="H103" s="2"/>
      <c r="I103" s="2" t="s">
        <v>112</v>
      </c>
      <c r="J103" s="16"/>
    </row>
    <row r="104" customFormat="false" ht="23.85" hidden="false" customHeight="false" outlineLevel="0" collapsed="false">
      <c r="A104" s="2" t="s">
        <v>356</v>
      </c>
      <c r="B104" s="2" t="n">
        <v>3</v>
      </c>
      <c r="C104" s="7" t="n">
        <v>0.6</v>
      </c>
      <c r="D104" s="7" t="n">
        <v>3.6</v>
      </c>
      <c r="E104" s="7" t="n">
        <v>2</v>
      </c>
      <c r="F104" s="7" t="n">
        <f aca="false">C104*D104</f>
        <v>2.16</v>
      </c>
      <c r="G104" s="2" t="s">
        <v>172</v>
      </c>
      <c r="H104" s="2" t="s">
        <v>280</v>
      </c>
      <c r="I104" s="2" t="s">
        <v>145</v>
      </c>
      <c r="J104" s="16"/>
    </row>
    <row r="105" customFormat="false" ht="23.85" hidden="false" customHeight="false" outlineLevel="0" collapsed="false">
      <c r="A105" s="17" t="s">
        <v>357</v>
      </c>
      <c r="B105" s="17" t="n">
        <v>1</v>
      </c>
      <c r="C105" s="18" t="n">
        <v>1.2</v>
      </c>
      <c r="D105" s="18" t="n">
        <v>0.6</v>
      </c>
      <c r="E105" s="18" t="n">
        <v>2</v>
      </c>
      <c r="F105" s="18" t="n">
        <f aca="false">C105*D105</f>
        <v>0.72</v>
      </c>
      <c r="G105" s="17" t="s">
        <v>254</v>
      </c>
      <c r="H105" s="17" t="s">
        <v>280</v>
      </c>
      <c r="I105" s="17" t="s">
        <v>145</v>
      </c>
      <c r="J105" s="19"/>
    </row>
    <row r="107" customFormat="false" ht="15" hidden="false" customHeight="false" outlineLevel="0" collapsed="false">
      <c r="A107" s="6" t="s">
        <v>36</v>
      </c>
      <c r="B107" s="6"/>
      <c r="C107" s="12" t="n">
        <v>3.6</v>
      </c>
      <c r="D107" s="12" t="n">
        <v>4.4</v>
      </c>
      <c r="E107" s="6"/>
      <c r="F107" s="12" t="n">
        <f aca="false">C107*D107</f>
        <v>15.84</v>
      </c>
      <c r="G107" s="6"/>
      <c r="H107" s="6" t="str">
        <f aca="false">"Los equipos ocupan "&amp;TEXT(SUM(F108:F112),"0.0")&amp;" m² ("&amp;TEXT(SUM(F108:F112)/F107,"0%")&amp;")"</f>
        <v>Los equipos ocupan 5.8 m² (37%)</v>
      </c>
      <c r="I107" s="6" t="s">
        <v>112</v>
      </c>
      <c r="J107" s="6"/>
    </row>
    <row r="108" customFormat="false" ht="15" hidden="false" customHeight="false" outlineLevel="0" collapsed="false">
      <c r="A108" s="2" t="s">
        <v>358</v>
      </c>
      <c r="B108" s="2" t="n">
        <v>1</v>
      </c>
      <c r="C108" s="7" t="n">
        <v>1.7</v>
      </c>
      <c r="D108" s="7" t="n">
        <v>0.8</v>
      </c>
      <c r="E108" s="16" t="s">
        <v>126</v>
      </c>
      <c r="F108" s="7" t="n">
        <f aca="false">C108*D108</f>
        <v>1.36</v>
      </c>
      <c r="G108" s="2" t="s">
        <v>216</v>
      </c>
      <c r="H108" s="2"/>
      <c r="I108" s="2" t="s">
        <v>112</v>
      </c>
      <c r="J108" s="16"/>
    </row>
    <row r="109" customFormat="false" ht="15" hidden="false" customHeight="false" outlineLevel="0" collapsed="false">
      <c r="A109" s="2" t="s">
        <v>359</v>
      </c>
      <c r="B109" s="2" t="n">
        <v>1</v>
      </c>
      <c r="C109" s="7" t="n">
        <v>0.45</v>
      </c>
      <c r="D109" s="7" t="n">
        <v>1.9</v>
      </c>
      <c r="E109" s="16" t="s">
        <v>126</v>
      </c>
      <c r="F109" s="7" t="n">
        <f aca="false">C109*D109</f>
        <v>0.855</v>
      </c>
      <c r="G109" s="2" t="s">
        <v>210</v>
      </c>
      <c r="H109" s="2"/>
      <c r="I109" s="2" t="s">
        <v>112</v>
      </c>
      <c r="J109" s="16"/>
    </row>
    <row r="110" customFormat="false" ht="15" hidden="false" customHeight="false" outlineLevel="0" collapsed="false">
      <c r="A110" s="2" t="s">
        <v>360</v>
      </c>
      <c r="B110" s="2" t="n">
        <v>1</v>
      </c>
      <c r="C110" s="7" t="n">
        <v>0.55</v>
      </c>
      <c r="D110" s="7" t="n">
        <v>0.95</v>
      </c>
      <c r="E110" s="16" t="s">
        <v>126</v>
      </c>
      <c r="F110" s="7" t="n">
        <f aca="false">C110*D110</f>
        <v>0.5225</v>
      </c>
      <c r="G110" s="2" t="s">
        <v>262</v>
      </c>
      <c r="H110" s="2"/>
      <c r="I110" s="2" t="s">
        <v>112</v>
      </c>
      <c r="J110" s="16"/>
    </row>
    <row r="111" customFormat="false" ht="23.85" hidden="false" customHeight="false" outlineLevel="0" collapsed="false">
      <c r="A111" s="2" t="s">
        <v>361</v>
      </c>
      <c r="B111" s="2" t="n">
        <v>3</v>
      </c>
      <c r="C111" s="7" t="n">
        <v>0.6</v>
      </c>
      <c r="D111" s="7" t="n">
        <v>3.6</v>
      </c>
      <c r="E111" s="7" t="n">
        <v>2</v>
      </c>
      <c r="F111" s="7" t="n">
        <f aca="false">C111*D111</f>
        <v>2.16</v>
      </c>
      <c r="G111" s="2" t="s">
        <v>362</v>
      </c>
      <c r="H111" s="2" t="s">
        <v>280</v>
      </c>
      <c r="I111" s="2" t="s">
        <v>145</v>
      </c>
      <c r="J111" s="16"/>
    </row>
    <row r="112" customFormat="false" ht="23.85" hidden="false" customHeight="false" outlineLevel="0" collapsed="false">
      <c r="A112" s="17" t="s">
        <v>363</v>
      </c>
      <c r="B112" s="17" t="n">
        <v>1</v>
      </c>
      <c r="C112" s="18" t="n">
        <v>1.3</v>
      </c>
      <c r="D112" s="18" t="n">
        <v>0.7</v>
      </c>
      <c r="E112" s="19" t="s">
        <v>126</v>
      </c>
      <c r="F112" s="18" t="n">
        <f aca="false">C112*D112</f>
        <v>0.91</v>
      </c>
      <c r="G112" s="17" t="s">
        <v>312</v>
      </c>
      <c r="H112" s="17" t="s">
        <v>271</v>
      </c>
      <c r="I112" s="17" t="s">
        <v>112</v>
      </c>
      <c r="J112" s="19"/>
    </row>
    <row r="114" customFormat="false" ht="15" hidden="false" customHeight="false" outlineLevel="0" collapsed="false">
      <c r="A114" s="6" t="s">
        <v>37</v>
      </c>
      <c r="B114" s="6"/>
      <c r="C114" s="12" t="n">
        <v>4.2</v>
      </c>
      <c r="D114" s="12" t="n">
        <v>3</v>
      </c>
      <c r="E114" s="6"/>
      <c r="F114" s="12" t="n">
        <f aca="false">C114*D114</f>
        <v>12.6</v>
      </c>
      <c r="G114" s="6"/>
      <c r="H114" s="6" t="str">
        <f aca="false">"Los equipos ocupan "&amp;TEXT(SUM(F115:F117),"0.0")&amp;" m² ("&amp;TEXT(SUM(F115:F117)/F114,"0%")&amp;")"</f>
        <v>Los equipos ocupan 4.0 m² (32%)</v>
      </c>
      <c r="I114" s="6" t="s">
        <v>112</v>
      </c>
      <c r="J114" s="6"/>
    </row>
    <row r="115" customFormat="false" ht="15" hidden="false" customHeight="false" outlineLevel="0" collapsed="false">
      <c r="A115" s="2" t="s">
        <v>364</v>
      </c>
      <c r="B115" s="2" t="n">
        <v>1</v>
      </c>
      <c r="C115" s="7" t="n">
        <v>1.5</v>
      </c>
      <c r="D115" s="7" t="n">
        <v>0.8</v>
      </c>
      <c r="E115" s="16" t="s">
        <v>126</v>
      </c>
      <c r="F115" s="7" t="n">
        <f aca="false">C115*D115</f>
        <v>1.2</v>
      </c>
      <c r="G115" s="2" t="s">
        <v>262</v>
      </c>
      <c r="H115" s="2"/>
      <c r="I115" s="2" t="s">
        <v>112</v>
      </c>
      <c r="J115" s="16"/>
    </row>
    <row r="116" customFormat="false" ht="15" hidden="false" customHeight="false" outlineLevel="0" collapsed="false">
      <c r="A116" s="2" t="s">
        <v>365</v>
      </c>
      <c r="B116" s="2" t="n">
        <v>1</v>
      </c>
      <c r="C116" s="7" t="n">
        <v>1.4</v>
      </c>
      <c r="D116" s="7" t="n">
        <v>0.45</v>
      </c>
      <c r="E116" s="16" t="s">
        <v>126</v>
      </c>
      <c r="F116" s="7" t="n">
        <f aca="false">C116*D116</f>
        <v>0.63</v>
      </c>
      <c r="G116" s="2" t="s">
        <v>262</v>
      </c>
      <c r="H116" s="2"/>
      <c r="I116" s="2" t="s">
        <v>112</v>
      </c>
      <c r="J116" s="16"/>
    </row>
    <row r="117" customFormat="false" ht="23.85" hidden="false" customHeight="false" outlineLevel="0" collapsed="false">
      <c r="A117" s="17" t="s">
        <v>366</v>
      </c>
      <c r="B117" s="17" t="n">
        <v>3</v>
      </c>
      <c r="C117" s="18" t="n">
        <v>3.6</v>
      </c>
      <c r="D117" s="18" t="n">
        <v>0.6</v>
      </c>
      <c r="E117" s="18" t="n">
        <v>2</v>
      </c>
      <c r="F117" s="18" t="n">
        <f aca="false">C117*D117</f>
        <v>2.16</v>
      </c>
      <c r="G117" s="17" t="s">
        <v>292</v>
      </c>
      <c r="H117" s="17" t="s">
        <v>280</v>
      </c>
      <c r="I117" s="17" t="s">
        <v>145</v>
      </c>
      <c r="J117" s="19"/>
    </row>
    <row r="119" customFormat="false" ht="15" hidden="false" customHeight="false" outlineLevel="0" collapsed="false">
      <c r="A119" s="6" t="s">
        <v>38</v>
      </c>
      <c r="B119" s="6"/>
      <c r="C119" s="12" t="n">
        <v>4.2</v>
      </c>
      <c r="D119" s="12" t="n">
        <v>2.8</v>
      </c>
      <c r="E119" s="6"/>
      <c r="F119" s="12" t="n">
        <f aca="false">C119*D119</f>
        <v>11.76</v>
      </c>
      <c r="G119" s="6"/>
      <c r="H119" s="6" t="str">
        <f aca="false">"Los equipos ocupan "&amp;TEXT(SUM(F120:F123),"0.0")&amp;" m² ("&amp;TEXT(SUM(F120:F123)/F119,"0%")&amp;")"</f>
        <v>Los equipos ocupan 3.6 m² (30%)</v>
      </c>
      <c r="I119" s="6" t="s">
        <v>112</v>
      </c>
      <c r="J119" s="6"/>
    </row>
    <row r="120" customFormat="false" ht="15" hidden="false" customHeight="false" outlineLevel="0" collapsed="false">
      <c r="A120" s="2" t="s">
        <v>367</v>
      </c>
      <c r="B120" s="2" t="n">
        <v>1</v>
      </c>
      <c r="C120" s="7" t="n">
        <v>1.6</v>
      </c>
      <c r="D120" s="7" t="n">
        <v>1</v>
      </c>
      <c r="E120" s="16" t="s">
        <v>126</v>
      </c>
      <c r="F120" s="7" t="n">
        <f aca="false">C120*D120</f>
        <v>1.6</v>
      </c>
      <c r="G120" s="2" t="s">
        <v>210</v>
      </c>
      <c r="H120" s="2" t="s">
        <v>368</v>
      </c>
      <c r="I120" s="2" t="s">
        <v>112</v>
      </c>
      <c r="J120" s="16" t="s">
        <v>369</v>
      </c>
    </row>
    <row r="121" customFormat="false" ht="15" hidden="false" customHeight="false" outlineLevel="0" collapsed="false">
      <c r="A121" s="2" t="s">
        <v>370</v>
      </c>
      <c r="B121" s="2" t="n">
        <v>1</v>
      </c>
      <c r="C121" s="7" t="n">
        <v>1.6</v>
      </c>
      <c r="D121" s="7" t="n">
        <v>0.45</v>
      </c>
      <c r="E121" s="16" t="s">
        <v>126</v>
      </c>
      <c r="F121" s="7" t="n">
        <f aca="false">C121*D121</f>
        <v>0.72</v>
      </c>
      <c r="G121" s="2" t="s">
        <v>371</v>
      </c>
      <c r="H121" s="2"/>
      <c r="I121" s="2" t="s">
        <v>112</v>
      </c>
      <c r="J121" s="16"/>
    </row>
    <row r="122" customFormat="false" ht="15" hidden="false" customHeight="false" outlineLevel="0" collapsed="false">
      <c r="A122" s="2" t="s">
        <v>372</v>
      </c>
      <c r="B122" s="2" t="n">
        <v>1</v>
      </c>
      <c r="C122" s="7" t="n">
        <v>0.9</v>
      </c>
      <c r="D122" s="7" t="n">
        <v>0.6</v>
      </c>
      <c r="E122" s="16" t="s">
        <v>126</v>
      </c>
      <c r="F122" s="7" t="n">
        <f aca="false">C122*D122</f>
        <v>0.54</v>
      </c>
      <c r="G122" s="2" t="s">
        <v>213</v>
      </c>
      <c r="H122" s="2"/>
      <c r="I122" s="2" t="s">
        <v>112</v>
      </c>
      <c r="J122" s="16"/>
    </row>
    <row r="123" customFormat="false" ht="23.85" hidden="false" customHeight="false" outlineLevel="0" collapsed="false">
      <c r="A123" s="17" t="s">
        <v>373</v>
      </c>
      <c r="B123" s="17" t="n">
        <v>1</v>
      </c>
      <c r="C123" s="18" t="n">
        <v>1.2</v>
      </c>
      <c r="D123" s="18" t="n">
        <v>0.6</v>
      </c>
      <c r="E123" s="18" t="n">
        <v>2</v>
      </c>
      <c r="F123" s="18" t="n">
        <f aca="false">C123*D123</f>
        <v>0.72</v>
      </c>
      <c r="G123" s="17" t="s">
        <v>299</v>
      </c>
      <c r="H123" s="17" t="s">
        <v>280</v>
      </c>
      <c r="I123" s="17" t="s">
        <v>145</v>
      </c>
      <c r="J123" s="19"/>
    </row>
    <row r="125" customFormat="false" ht="15" hidden="false" customHeight="false" outlineLevel="0" collapsed="false">
      <c r="A125" s="6" t="s">
        <v>39</v>
      </c>
      <c r="B125" s="6"/>
      <c r="C125" s="12" t="n">
        <v>4.2</v>
      </c>
      <c r="D125" s="12" t="n">
        <v>2.8</v>
      </c>
      <c r="E125" s="6"/>
      <c r="F125" s="12" t="n">
        <f aca="false">C125*D125</f>
        <v>11.76</v>
      </c>
      <c r="G125" s="6"/>
      <c r="H125" s="6" t="str">
        <f aca="false">"Los equipos ocupan "&amp;TEXT(SUM(F126:F129),"0.0")&amp;" m² ("&amp;TEXT(SUM(F126:F129)/F125,"0%")&amp;")"</f>
        <v>Los equipos ocupan 4.7 m² (40%)</v>
      </c>
      <c r="I125" s="6" t="s">
        <v>112</v>
      </c>
      <c r="J125" s="6"/>
    </row>
    <row r="126" customFormat="false" ht="15" hidden="false" customHeight="false" outlineLevel="0" collapsed="false">
      <c r="A126" s="2" t="s">
        <v>374</v>
      </c>
      <c r="B126" s="2" t="n">
        <v>1</v>
      </c>
      <c r="C126" s="7" t="n">
        <v>1.5</v>
      </c>
      <c r="D126" s="7" t="n">
        <v>0.8</v>
      </c>
      <c r="E126" s="16" t="s">
        <v>126</v>
      </c>
      <c r="F126" s="7" t="n">
        <f aca="false">C126*D126</f>
        <v>1.2</v>
      </c>
      <c r="G126" s="2" t="s">
        <v>262</v>
      </c>
      <c r="H126" s="2" t="s">
        <v>375</v>
      </c>
      <c r="I126" s="2" t="s">
        <v>112</v>
      </c>
      <c r="J126" s="16"/>
    </row>
    <row r="127" customFormat="false" ht="15" hidden="false" customHeight="false" outlineLevel="0" collapsed="false">
      <c r="A127" s="2" t="s">
        <v>376</v>
      </c>
      <c r="B127" s="2" t="n">
        <v>1</v>
      </c>
      <c r="C127" s="7" t="n">
        <v>1</v>
      </c>
      <c r="D127" s="7" t="n">
        <v>0.45</v>
      </c>
      <c r="E127" s="16" t="s">
        <v>126</v>
      </c>
      <c r="F127" s="7" t="n">
        <f aca="false">C127*D127</f>
        <v>0.45</v>
      </c>
      <c r="G127" s="2" t="s">
        <v>262</v>
      </c>
      <c r="H127" s="2"/>
      <c r="I127" s="2" t="s">
        <v>112</v>
      </c>
      <c r="J127" s="16"/>
    </row>
    <row r="128" customFormat="false" ht="23.85" hidden="false" customHeight="false" outlineLevel="0" collapsed="false">
      <c r="A128" s="2" t="s">
        <v>377</v>
      </c>
      <c r="B128" s="2" t="n">
        <v>3</v>
      </c>
      <c r="C128" s="7" t="n">
        <v>3.6</v>
      </c>
      <c r="D128" s="7" t="n">
        <v>0.6</v>
      </c>
      <c r="E128" s="7" t="n">
        <v>2</v>
      </c>
      <c r="F128" s="7" t="n">
        <f aca="false">C128*D128</f>
        <v>2.16</v>
      </c>
      <c r="G128" s="2" t="s">
        <v>292</v>
      </c>
      <c r="H128" s="2" t="s">
        <v>280</v>
      </c>
      <c r="I128" s="2" t="s">
        <v>145</v>
      </c>
      <c r="J128" s="16"/>
    </row>
    <row r="129" customFormat="false" ht="23.85" hidden="false" customHeight="false" outlineLevel="0" collapsed="false">
      <c r="A129" s="17" t="s">
        <v>378</v>
      </c>
      <c r="B129" s="17" t="n">
        <v>1</v>
      </c>
      <c r="C129" s="18" t="n">
        <v>0.7</v>
      </c>
      <c r="D129" s="18" t="n">
        <v>1.3</v>
      </c>
      <c r="E129" s="19" t="s">
        <v>126</v>
      </c>
      <c r="F129" s="18" t="n">
        <f aca="false">C129*D129</f>
        <v>0.91</v>
      </c>
      <c r="G129" s="17" t="s">
        <v>213</v>
      </c>
      <c r="H129" s="17" t="s">
        <v>271</v>
      </c>
      <c r="I129" s="17" t="s">
        <v>112</v>
      </c>
      <c r="J129" s="19"/>
    </row>
    <row r="131" customFormat="false" ht="15" hidden="false" customHeight="false" outlineLevel="0" collapsed="false">
      <c r="A131" s="6" t="s">
        <v>40</v>
      </c>
      <c r="B131" s="6"/>
      <c r="C131" s="12" t="n">
        <v>4.2</v>
      </c>
      <c r="D131" s="12" t="n">
        <v>2.4</v>
      </c>
      <c r="E131" s="6"/>
      <c r="F131" s="12" t="n">
        <f aca="false">C131*D131</f>
        <v>10.08</v>
      </c>
      <c r="G131" s="6"/>
      <c r="H131" s="6" t="str">
        <f aca="false">"Los equipos ocupan "&amp;TEXT(SUM(F132:F134),"0.0")&amp;" m² ("&amp;TEXT(SUM(F132:F134)/F131,"0%")&amp;")"</f>
        <v>Los equipos ocupan 3.8 m² (38%)</v>
      </c>
      <c r="I131" s="6" t="s">
        <v>112</v>
      </c>
      <c r="J131" s="6"/>
    </row>
    <row r="132" customFormat="false" ht="15" hidden="false" customHeight="false" outlineLevel="0" collapsed="false">
      <c r="A132" s="2" t="s">
        <v>379</v>
      </c>
      <c r="B132" s="2" t="n">
        <v>1</v>
      </c>
      <c r="C132" s="7" t="n">
        <v>2.2</v>
      </c>
      <c r="D132" s="7" t="n">
        <v>0.85</v>
      </c>
      <c r="E132" s="16" t="s">
        <v>126</v>
      </c>
      <c r="F132" s="7" t="n">
        <f aca="false">C132*D132</f>
        <v>1.87</v>
      </c>
      <c r="G132" s="2" t="s">
        <v>210</v>
      </c>
      <c r="H132" s="2"/>
      <c r="I132" s="2" t="s">
        <v>112</v>
      </c>
      <c r="J132" s="16"/>
    </row>
    <row r="133" customFormat="false" ht="15" hidden="false" customHeight="false" outlineLevel="0" collapsed="false">
      <c r="A133" s="2" t="s">
        <v>380</v>
      </c>
      <c r="B133" s="2" t="n">
        <v>1</v>
      </c>
      <c r="C133" s="7" t="n">
        <v>1.3</v>
      </c>
      <c r="D133" s="7" t="n">
        <v>0.75</v>
      </c>
      <c r="E133" s="16" t="s">
        <v>126</v>
      </c>
      <c r="F133" s="7" t="n">
        <f aca="false">C133*D133</f>
        <v>0.975</v>
      </c>
      <c r="G133" s="2" t="s">
        <v>381</v>
      </c>
      <c r="H133" s="2"/>
      <c r="I133" s="2" t="s">
        <v>112</v>
      </c>
      <c r="J133" s="16"/>
    </row>
    <row r="134" customFormat="false" ht="15" hidden="false" customHeight="false" outlineLevel="0" collapsed="false">
      <c r="A134" s="17" t="s">
        <v>382</v>
      </c>
      <c r="B134" s="17" t="n">
        <v>1</v>
      </c>
      <c r="C134" s="18" t="n">
        <v>1.3</v>
      </c>
      <c r="D134" s="18" t="n">
        <v>0.75</v>
      </c>
      <c r="E134" s="19" t="s">
        <v>126</v>
      </c>
      <c r="F134" s="18" t="n">
        <f aca="false">C134*D134</f>
        <v>0.975</v>
      </c>
      <c r="G134" s="17" t="s">
        <v>383</v>
      </c>
      <c r="H134" s="17"/>
      <c r="I134" s="17" t="s">
        <v>112</v>
      </c>
      <c r="J134" s="19"/>
    </row>
    <row r="136" customFormat="false" ht="15" hidden="false" customHeight="false" outlineLevel="0" collapsed="false">
      <c r="A136" s="6" t="s">
        <v>41</v>
      </c>
      <c r="B136" s="6"/>
      <c r="C136" s="12" t="n">
        <v>5.5</v>
      </c>
      <c r="D136" s="12" t="n">
        <v>6.4</v>
      </c>
      <c r="E136" s="6"/>
      <c r="F136" s="12" t="n">
        <f aca="false">C136*D136</f>
        <v>35.2</v>
      </c>
      <c r="G136" s="6"/>
      <c r="H136" s="6" t="str">
        <f aca="false">"Los equipos ocupan "&amp;TEXT(SUM(F137:F143),"0.0")&amp;" m² ("&amp;TEXT(SUM(F137:F143)/F136,"0%")&amp;")"</f>
        <v>Los equipos ocupan 11.1 m² (32%)</v>
      </c>
      <c r="I136" s="6" t="s">
        <v>112</v>
      </c>
      <c r="J136" s="6"/>
    </row>
    <row r="137" customFormat="false" ht="15" hidden="false" customHeight="false" outlineLevel="0" collapsed="false">
      <c r="A137" s="2" t="s">
        <v>384</v>
      </c>
      <c r="B137" s="2" t="n">
        <v>1</v>
      </c>
      <c r="C137" s="7" t="n">
        <v>0.8</v>
      </c>
      <c r="D137" s="7" t="n">
        <v>2.3</v>
      </c>
      <c r="E137" s="16" t="s">
        <v>126</v>
      </c>
      <c r="F137" s="7" t="n">
        <f aca="false">C137*D137</f>
        <v>1.84</v>
      </c>
      <c r="G137" s="2" t="s">
        <v>385</v>
      </c>
      <c r="H137" s="2" t="s">
        <v>386</v>
      </c>
      <c r="I137" s="2" t="s">
        <v>112</v>
      </c>
      <c r="J137" s="16"/>
    </row>
    <row r="138" customFormat="false" ht="15" hidden="false" customHeight="false" outlineLevel="0" collapsed="false">
      <c r="A138" s="2" t="s">
        <v>387</v>
      </c>
      <c r="B138" s="2" t="n">
        <v>1</v>
      </c>
      <c r="C138" s="7" t="n">
        <v>0.8</v>
      </c>
      <c r="D138" s="7" t="n">
        <v>2.85</v>
      </c>
      <c r="E138" s="16" t="s">
        <v>126</v>
      </c>
      <c r="F138" s="7" t="n">
        <f aca="false">C138*D138</f>
        <v>2.28</v>
      </c>
      <c r="G138" s="2" t="s">
        <v>388</v>
      </c>
      <c r="H138" s="2" t="s">
        <v>386</v>
      </c>
      <c r="I138" s="2" t="s">
        <v>112</v>
      </c>
      <c r="J138" s="16"/>
    </row>
    <row r="139" customFormat="false" ht="15" hidden="false" customHeight="false" outlineLevel="0" collapsed="false">
      <c r="A139" s="2" t="s">
        <v>389</v>
      </c>
      <c r="B139" s="2" t="n">
        <v>1</v>
      </c>
      <c r="C139" s="7" t="n">
        <v>0.9</v>
      </c>
      <c r="D139" s="7" t="n">
        <v>0.8</v>
      </c>
      <c r="E139" s="16" t="s">
        <v>126</v>
      </c>
      <c r="F139" s="7" t="n">
        <f aca="false">C139*D139</f>
        <v>0.72</v>
      </c>
      <c r="G139" s="2" t="s">
        <v>390</v>
      </c>
      <c r="H139" s="2"/>
      <c r="I139" s="2" t="s">
        <v>112</v>
      </c>
      <c r="J139" s="16"/>
    </row>
    <row r="140" customFormat="false" ht="15" hidden="false" customHeight="false" outlineLevel="0" collapsed="false">
      <c r="A140" s="2" t="s">
        <v>391</v>
      </c>
      <c r="B140" s="2" t="n">
        <v>1</v>
      </c>
      <c r="C140" s="7" t="n">
        <v>0.9</v>
      </c>
      <c r="D140" s="7" t="n">
        <v>0.8</v>
      </c>
      <c r="E140" s="16" t="s">
        <v>126</v>
      </c>
      <c r="F140" s="7" t="n">
        <f aca="false">C140*D140</f>
        <v>0.72</v>
      </c>
      <c r="G140" s="2" t="s">
        <v>390</v>
      </c>
      <c r="H140" s="2"/>
      <c r="I140" s="2" t="s">
        <v>112</v>
      </c>
      <c r="J140" s="16"/>
    </row>
    <row r="141" customFormat="false" ht="15" hidden="false" customHeight="false" outlineLevel="0" collapsed="false">
      <c r="A141" s="2" t="s">
        <v>392</v>
      </c>
      <c r="B141" s="2" t="n">
        <v>1</v>
      </c>
      <c r="C141" s="7" t="n">
        <v>1.6</v>
      </c>
      <c r="D141" s="7" t="n">
        <v>1.6</v>
      </c>
      <c r="E141" s="16" t="s">
        <v>126</v>
      </c>
      <c r="F141" s="7" t="n">
        <f aca="false">C141*D141</f>
        <v>2.56</v>
      </c>
      <c r="G141" s="2" t="s">
        <v>213</v>
      </c>
      <c r="H141" s="2" t="s">
        <v>393</v>
      </c>
      <c r="I141" s="2" t="s">
        <v>112</v>
      </c>
      <c r="J141" s="16" t="s">
        <v>394</v>
      </c>
    </row>
    <row r="142" customFormat="false" ht="23.85" hidden="false" customHeight="false" outlineLevel="0" collapsed="false">
      <c r="A142" s="2" t="s">
        <v>395</v>
      </c>
      <c r="B142" s="2" t="n">
        <v>2</v>
      </c>
      <c r="C142" s="7" t="n">
        <v>0.6</v>
      </c>
      <c r="D142" s="7" t="n">
        <v>2.4</v>
      </c>
      <c r="E142" s="7" t="n">
        <v>2</v>
      </c>
      <c r="F142" s="7" t="n">
        <f aca="false">C142*D142</f>
        <v>1.44</v>
      </c>
      <c r="G142" s="2" t="s">
        <v>183</v>
      </c>
      <c r="H142" s="2" t="s">
        <v>280</v>
      </c>
      <c r="I142" s="2" t="s">
        <v>145</v>
      </c>
      <c r="J142" s="16"/>
    </row>
    <row r="143" customFormat="false" ht="23.85" hidden="false" customHeight="false" outlineLevel="0" collapsed="false">
      <c r="A143" s="17" t="s">
        <v>396</v>
      </c>
      <c r="B143" s="17" t="n">
        <v>1</v>
      </c>
      <c r="C143" s="18" t="n">
        <v>0.7</v>
      </c>
      <c r="D143" s="18" t="n">
        <v>2.2</v>
      </c>
      <c r="E143" s="19" t="s">
        <v>126</v>
      </c>
      <c r="F143" s="18" t="n">
        <f aca="false">C143*D143</f>
        <v>1.54</v>
      </c>
      <c r="G143" s="17" t="s">
        <v>312</v>
      </c>
      <c r="H143" s="17" t="s">
        <v>300</v>
      </c>
      <c r="I143" s="17" t="s">
        <v>145</v>
      </c>
      <c r="J143" s="19" t="s">
        <v>301</v>
      </c>
    </row>
    <row r="145" customFormat="false" ht="23.85" hidden="false" customHeight="false" outlineLevel="0" collapsed="false">
      <c r="A145" s="6" t="s">
        <v>42</v>
      </c>
      <c r="B145" s="6"/>
      <c r="C145" s="12" t="n">
        <v>3.35</v>
      </c>
      <c r="D145" s="12" t="n">
        <v>4.6</v>
      </c>
      <c r="E145" s="6"/>
      <c r="F145" s="12" t="n">
        <f aca="false">C145*D145</f>
        <v>15.41</v>
      </c>
      <c r="G145" s="6"/>
      <c r="H145" s="6" t="str">
        <f aca="false">"Los equipos ocupan "&amp;TEXT(SUM(F146:F150),"0.0")&amp;" m² ("&amp;TEXT(SUM(F146:F150)/F145,"0%")&amp;")"</f>
        <v>Los equipos ocupan 8.8 m² (57%)</v>
      </c>
      <c r="I145" s="6" t="s">
        <v>112</v>
      </c>
      <c r="J145" s="6"/>
    </row>
    <row r="146" customFormat="false" ht="15" hidden="false" customHeight="false" outlineLevel="0" collapsed="false">
      <c r="A146" s="2" t="s">
        <v>397</v>
      </c>
      <c r="B146" s="2" t="n">
        <v>1</v>
      </c>
      <c r="C146" s="7" t="n">
        <v>1.35</v>
      </c>
      <c r="D146" s="7" t="n">
        <v>1.4</v>
      </c>
      <c r="E146" s="16" t="s">
        <v>126</v>
      </c>
      <c r="F146" s="7" t="n">
        <f aca="false">C146*D146</f>
        <v>1.89</v>
      </c>
      <c r="G146" s="2" t="s">
        <v>312</v>
      </c>
      <c r="H146" s="2"/>
      <c r="I146" s="2" t="s">
        <v>112</v>
      </c>
      <c r="J146" s="16"/>
    </row>
    <row r="147" customFormat="false" ht="15" hidden="false" customHeight="false" outlineLevel="0" collapsed="false">
      <c r="A147" s="2" t="s">
        <v>380</v>
      </c>
      <c r="B147" s="2" t="n">
        <v>1</v>
      </c>
      <c r="C147" s="7" t="n">
        <v>1.5</v>
      </c>
      <c r="D147" s="7" t="n">
        <v>1.4</v>
      </c>
      <c r="E147" s="16" t="s">
        <v>126</v>
      </c>
      <c r="F147" s="7" t="n">
        <f aca="false">C147*D147</f>
        <v>2.1</v>
      </c>
      <c r="G147" s="2" t="s">
        <v>200</v>
      </c>
      <c r="H147" s="2"/>
      <c r="I147" s="2" t="s">
        <v>112</v>
      </c>
      <c r="J147" s="16"/>
    </row>
    <row r="148" customFormat="false" ht="15" hidden="false" customHeight="false" outlineLevel="0" collapsed="false">
      <c r="A148" s="2" t="s">
        <v>398</v>
      </c>
      <c r="B148" s="2" t="n">
        <v>1</v>
      </c>
      <c r="C148" s="7" t="n">
        <v>1.35</v>
      </c>
      <c r="D148" s="7" t="n">
        <v>0.9</v>
      </c>
      <c r="E148" s="16" t="s">
        <v>126</v>
      </c>
      <c r="F148" s="7" t="n">
        <f aca="false">C148*D148</f>
        <v>1.215</v>
      </c>
      <c r="G148" s="2" t="s">
        <v>210</v>
      </c>
      <c r="H148" s="2"/>
      <c r="I148" s="2" t="s">
        <v>112</v>
      </c>
      <c r="J148" s="16"/>
    </row>
    <row r="149" customFormat="false" ht="15" hidden="false" customHeight="false" outlineLevel="0" collapsed="false">
      <c r="A149" s="2" t="s">
        <v>399</v>
      </c>
      <c r="B149" s="2" t="n">
        <v>1</v>
      </c>
      <c r="C149" s="7" t="n">
        <v>0.85</v>
      </c>
      <c r="D149" s="7" t="n">
        <v>1.9</v>
      </c>
      <c r="E149" s="16" t="s">
        <v>126</v>
      </c>
      <c r="F149" s="7" t="n">
        <f aca="false">C149*D149</f>
        <v>1.615</v>
      </c>
      <c r="G149" s="2" t="s">
        <v>163</v>
      </c>
      <c r="H149" s="2"/>
      <c r="I149" s="2" t="s">
        <v>112</v>
      </c>
      <c r="J149" s="16"/>
    </row>
    <row r="150" customFormat="false" ht="15" hidden="false" customHeight="false" outlineLevel="0" collapsed="false">
      <c r="A150" s="17" t="s">
        <v>400</v>
      </c>
      <c r="B150" s="17" t="n">
        <v>1</v>
      </c>
      <c r="C150" s="18" t="n">
        <v>1.35</v>
      </c>
      <c r="D150" s="18" t="n">
        <v>1.45</v>
      </c>
      <c r="E150" s="19" t="s">
        <v>126</v>
      </c>
      <c r="F150" s="18" t="n">
        <f aca="false">C150*D150</f>
        <v>1.9575</v>
      </c>
      <c r="G150" s="17" t="s">
        <v>183</v>
      </c>
      <c r="H150" s="17"/>
      <c r="I150" s="17" t="s">
        <v>112</v>
      </c>
      <c r="J150" s="1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 min="2" style="0" width="6"/>
    <col collapsed="false" customWidth="true" hidden="false" outlineLevel="0" max="5" min="3" style="0" width="9"/>
    <col collapsed="false" customWidth="true" hidden="false" outlineLevel="0" max="6" min="6" style="0" width="10"/>
    <col collapsed="false" customWidth="true" hidden="false" outlineLevel="0" max="7" min="7" style="0" width="22"/>
    <col collapsed="false" customWidth="true" hidden="false" outlineLevel="0" max="8" min="8" style="0" width="40"/>
    <col collapsed="false" customWidth="true" hidden="false" outlineLevel="0" max="9" min="9" style="0" width="16"/>
    <col collapsed="false" customWidth="true" hidden="false" outlineLevel="0" max="10" min="10" style="0" width="40"/>
  </cols>
  <sheetData>
    <row r="1" customFormat="false" ht="16.15" hidden="false" customHeight="false" outlineLevel="0" collapsed="false">
      <c r="A1" s="4" t="s">
        <v>401</v>
      </c>
    </row>
    <row r="2" customFormat="false" ht="15" hidden="false" customHeight="false" outlineLevel="0" collapsed="false">
      <c r="A2" s="14" t="s">
        <v>103</v>
      </c>
    </row>
    <row r="4" customFormat="false" ht="15" hidden="false" customHeight="false" outlineLevel="0" collapsed="false">
      <c r="A4" s="5" t="s">
        <v>104</v>
      </c>
      <c r="B4" s="5" t="s">
        <v>106</v>
      </c>
      <c r="C4" s="5" t="s">
        <v>17</v>
      </c>
      <c r="D4" s="5" t="s">
        <v>18</v>
      </c>
      <c r="E4" s="5" t="s">
        <v>107</v>
      </c>
      <c r="F4" s="5" t="s">
        <v>108</v>
      </c>
      <c r="G4" s="5" t="s">
        <v>109</v>
      </c>
      <c r="H4" s="5" t="s">
        <v>110</v>
      </c>
      <c r="I4" s="5" t="s">
        <v>11</v>
      </c>
      <c r="J4" s="5" t="s">
        <v>111</v>
      </c>
    </row>
    <row r="5" customFormat="false" ht="15" hidden="false" customHeight="false" outlineLevel="0" collapsed="false">
      <c r="A5" s="6" t="s">
        <v>45</v>
      </c>
      <c r="B5" s="6"/>
      <c r="C5" s="12" t="n">
        <v>3.4</v>
      </c>
      <c r="D5" s="12" t="n">
        <v>2.2</v>
      </c>
      <c r="E5" s="6"/>
      <c r="F5" s="12" t="n">
        <f aca="false">C5*D5</f>
        <v>7.48</v>
      </c>
      <c r="G5" s="6"/>
      <c r="H5" s="6" t="str">
        <f aca="false">"Los equipos ocupan "&amp;TEXT(SUM(F6:F6),"0.0")&amp;" m² ("&amp;TEXT(SUM(F6:F6)/F5,"0%")&amp;")"</f>
        <v>Los equipos ocupan 5.3 m² (70%)</v>
      </c>
      <c r="I5" s="6" t="s">
        <v>112</v>
      </c>
      <c r="J5" s="6"/>
    </row>
    <row r="6" customFormat="false" ht="23.85" hidden="false" customHeight="false" outlineLevel="0" collapsed="false">
      <c r="A6" s="17" t="s">
        <v>402</v>
      </c>
      <c r="B6" s="17" t="n">
        <v>52</v>
      </c>
      <c r="C6" s="18" t="n">
        <v>3.1</v>
      </c>
      <c r="D6" s="18" t="n">
        <v>1.7</v>
      </c>
      <c r="E6" s="19" t="s">
        <v>126</v>
      </c>
      <c r="F6" s="18" t="n">
        <f aca="false">C6*D6</f>
        <v>5.27</v>
      </c>
      <c r="G6" s="17" t="s">
        <v>403</v>
      </c>
      <c r="H6" s="17" t="s">
        <v>404</v>
      </c>
      <c r="I6" s="17" t="s">
        <v>145</v>
      </c>
      <c r="J6" s="19" t="s">
        <v>405</v>
      </c>
    </row>
    <row r="8" customFormat="false" ht="15" hidden="false" customHeight="false" outlineLevel="0" collapsed="false">
      <c r="A8" s="6" t="s">
        <v>46</v>
      </c>
      <c r="B8" s="6"/>
      <c r="C8" s="12" t="n">
        <v>7.2</v>
      </c>
      <c r="D8" s="12" t="n">
        <v>4.4</v>
      </c>
      <c r="E8" s="6"/>
      <c r="F8" s="12" t="n">
        <f aca="false">C8*D8</f>
        <v>31.68</v>
      </c>
      <c r="G8" s="6"/>
      <c r="H8" s="6" t="str">
        <f aca="false">"Los equipos ocupan "&amp;TEXT(SUM(F9:F12),"0.0")&amp;" m² ("&amp;TEXT(SUM(F9:F12)/F8,"0%")&amp;")"</f>
        <v>Los equipos ocupan 9.1 m² (29%)</v>
      </c>
      <c r="I8" s="6" t="s">
        <v>112</v>
      </c>
      <c r="J8" s="6"/>
    </row>
    <row r="9" customFormat="false" ht="15" hidden="false" customHeight="false" outlineLevel="0" collapsed="false">
      <c r="A9" s="2" t="s">
        <v>406</v>
      </c>
      <c r="B9" s="2" t="n">
        <v>1</v>
      </c>
      <c r="C9" s="7" t="n">
        <v>3.2</v>
      </c>
      <c r="D9" s="7" t="n">
        <v>1.4</v>
      </c>
      <c r="E9" s="16" t="s">
        <v>126</v>
      </c>
      <c r="F9" s="7" t="n">
        <f aca="false">C9*D9</f>
        <v>4.48</v>
      </c>
      <c r="G9" s="2" t="s">
        <v>216</v>
      </c>
      <c r="H9" s="2" t="s">
        <v>407</v>
      </c>
      <c r="I9" s="2" t="s">
        <v>112</v>
      </c>
      <c r="J9" s="16"/>
    </row>
    <row r="10" customFormat="false" ht="15" hidden="false" customHeight="false" outlineLevel="0" collapsed="false">
      <c r="A10" s="2" t="s">
        <v>408</v>
      </c>
      <c r="B10" s="2" t="n">
        <v>1</v>
      </c>
      <c r="C10" s="7" t="n">
        <v>3.2</v>
      </c>
      <c r="D10" s="7" t="n">
        <v>0.7</v>
      </c>
      <c r="E10" s="2" t="s">
        <v>122</v>
      </c>
      <c r="F10" s="7" t="n">
        <f aca="false">C10*D10</f>
        <v>2.24</v>
      </c>
      <c r="G10" s="2" t="s">
        <v>409</v>
      </c>
      <c r="H10" s="2"/>
      <c r="I10" s="2" t="s">
        <v>112</v>
      </c>
      <c r="J10" s="16"/>
    </row>
    <row r="11" customFormat="false" ht="15" hidden="false" customHeight="false" outlineLevel="0" collapsed="false">
      <c r="A11" s="2" t="s">
        <v>410</v>
      </c>
      <c r="B11" s="2" t="n">
        <v>1</v>
      </c>
      <c r="C11" s="7" t="n">
        <v>1.4</v>
      </c>
      <c r="D11" s="7" t="n">
        <v>1</v>
      </c>
      <c r="E11" s="16" t="s">
        <v>126</v>
      </c>
      <c r="F11" s="7" t="n">
        <f aca="false">C11*D11</f>
        <v>1.4</v>
      </c>
      <c r="G11" s="2" t="s">
        <v>262</v>
      </c>
      <c r="H11" s="2"/>
      <c r="I11" s="2" t="s">
        <v>112</v>
      </c>
      <c r="J11" s="16"/>
    </row>
    <row r="12" customFormat="false" ht="15" hidden="false" customHeight="false" outlineLevel="0" collapsed="false">
      <c r="A12" s="17" t="s">
        <v>411</v>
      </c>
      <c r="B12" s="17" t="n">
        <v>1</v>
      </c>
      <c r="C12" s="18" t="n">
        <v>1</v>
      </c>
      <c r="D12" s="18" t="n">
        <v>1</v>
      </c>
      <c r="E12" s="19" t="s">
        <v>126</v>
      </c>
      <c r="F12" s="18" t="n">
        <f aca="false">C12*D12</f>
        <v>1</v>
      </c>
      <c r="G12" s="17" t="s">
        <v>213</v>
      </c>
      <c r="H12" s="17"/>
      <c r="I12" s="17" t="s">
        <v>112</v>
      </c>
      <c r="J12" s="19"/>
    </row>
    <row r="14" customFormat="false" ht="15" hidden="false" customHeight="false" outlineLevel="0" collapsed="false">
      <c r="A14" s="6" t="s">
        <v>47</v>
      </c>
      <c r="B14" s="6"/>
      <c r="C14" s="12" t="n">
        <v>6.2</v>
      </c>
      <c r="D14" s="12" t="n">
        <v>4.3</v>
      </c>
      <c r="E14" s="6"/>
      <c r="F14" s="12" t="n">
        <f aca="false">C14*D14</f>
        <v>26.66</v>
      </c>
      <c r="G14" s="6"/>
      <c r="H14" s="6" t="str">
        <f aca="false">"Los equipos ocupan "&amp;TEXT(SUM(F15:F20),"0.0")&amp;" m² ("&amp;TEXT(SUM(F15:F20)/F14,"0%")&amp;")"</f>
        <v>Los equipos ocupan 6.8 m² (26%)</v>
      </c>
      <c r="I14" s="6" t="s">
        <v>112</v>
      </c>
      <c r="J14" s="6"/>
    </row>
    <row r="15" customFormat="false" ht="15" hidden="false" customHeight="false" outlineLevel="0" collapsed="false">
      <c r="A15" s="2" t="s">
        <v>412</v>
      </c>
      <c r="B15" s="2" t="n">
        <v>1</v>
      </c>
      <c r="C15" s="7" t="n">
        <v>1.2</v>
      </c>
      <c r="D15" s="7" t="n">
        <v>0.6</v>
      </c>
      <c r="E15" s="16" t="s">
        <v>126</v>
      </c>
      <c r="F15" s="7" t="n">
        <f aca="false">C15*D15</f>
        <v>0.72</v>
      </c>
      <c r="G15" s="2" t="s">
        <v>216</v>
      </c>
      <c r="H15" s="2"/>
      <c r="I15" s="2" t="s">
        <v>112</v>
      </c>
      <c r="J15" s="16"/>
    </row>
    <row r="16" customFormat="false" ht="15" hidden="false" customHeight="false" outlineLevel="0" collapsed="false">
      <c r="A16" s="2" t="s">
        <v>413</v>
      </c>
      <c r="B16" s="2" t="n">
        <v>1</v>
      </c>
      <c r="C16" s="7" t="n">
        <v>1.5</v>
      </c>
      <c r="D16" s="7" t="n">
        <v>0.7</v>
      </c>
      <c r="E16" s="16" t="s">
        <v>126</v>
      </c>
      <c r="F16" s="7" t="n">
        <f aca="false">C16*D16</f>
        <v>1.05</v>
      </c>
      <c r="G16" s="2" t="s">
        <v>312</v>
      </c>
      <c r="H16" s="2"/>
      <c r="I16" s="2" t="s">
        <v>112</v>
      </c>
      <c r="J16" s="16"/>
    </row>
    <row r="17" customFormat="false" ht="15" hidden="false" customHeight="false" outlineLevel="0" collapsed="false">
      <c r="A17" s="2" t="s">
        <v>414</v>
      </c>
      <c r="B17" s="2" t="n">
        <v>1</v>
      </c>
      <c r="C17" s="7" t="n">
        <v>0.9</v>
      </c>
      <c r="D17" s="7" t="n">
        <v>0.5</v>
      </c>
      <c r="E17" s="16" t="s">
        <v>126</v>
      </c>
      <c r="F17" s="7" t="n">
        <f aca="false">C17*D17</f>
        <v>0.45</v>
      </c>
      <c r="G17" s="2" t="s">
        <v>210</v>
      </c>
      <c r="H17" s="2"/>
      <c r="I17" s="2" t="s">
        <v>112</v>
      </c>
      <c r="J17" s="16"/>
    </row>
    <row r="18" customFormat="false" ht="15" hidden="false" customHeight="false" outlineLevel="0" collapsed="false">
      <c r="A18" s="2" t="s">
        <v>415</v>
      </c>
      <c r="B18" s="2" t="n">
        <v>1</v>
      </c>
      <c r="C18" s="7" t="n">
        <v>0.9</v>
      </c>
      <c r="D18" s="7" t="n">
        <v>0.7</v>
      </c>
      <c r="E18" s="16" t="s">
        <v>126</v>
      </c>
      <c r="F18" s="7" t="n">
        <f aca="false">C18*D18</f>
        <v>0.63</v>
      </c>
      <c r="G18" s="2" t="s">
        <v>213</v>
      </c>
      <c r="H18" s="2"/>
      <c r="I18" s="2" t="s">
        <v>112</v>
      </c>
      <c r="J18" s="16"/>
    </row>
    <row r="19" customFormat="false" ht="23.85" hidden="false" customHeight="false" outlineLevel="0" collapsed="false">
      <c r="A19" s="2" t="s">
        <v>416</v>
      </c>
      <c r="B19" s="2" t="n">
        <v>2</v>
      </c>
      <c r="C19" s="7" t="n">
        <v>1.8</v>
      </c>
      <c r="D19" s="7" t="n">
        <v>1.15</v>
      </c>
      <c r="E19" s="16" t="s">
        <v>126</v>
      </c>
      <c r="F19" s="7" t="n">
        <f aca="false">C19*D19</f>
        <v>2.07</v>
      </c>
      <c r="G19" s="2" t="s">
        <v>183</v>
      </c>
      <c r="H19" s="2" t="s">
        <v>417</v>
      </c>
      <c r="I19" s="2" t="s">
        <v>145</v>
      </c>
      <c r="J19" s="16"/>
    </row>
    <row r="20" customFormat="false" ht="15" hidden="false" customHeight="false" outlineLevel="0" collapsed="false">
      <c r="A20" s="17" t="s">
        <v>418</v>
      </c>
      <c r="B20" s="17" t="n">
        <v>1</v>
      </c>
      <c r="C20" s="18" t="n">
        <v>1.6</v>
      </c>
      <c r="D20" s="18" t="n">
        <v>1.2</v>
      </c>
      <c r="E20" s="17" t="s">
        <v>122</v>
      </c>
      <c r="F20" s="18" t="n">
        <f aca="false">C20*D20</f>
        <v>1.92</v>
      </c>
      <c r="G20" s="17" t="s">
        <v>200</v>
      </c>
      <c r="H20" s="17" t="s">
        <v>419</v>
      </c>
      <c r="I20" s="17" t="s">
        <v>112</v>
      </c>
      <c r="J20" s="19"/>
    </row>
    <row r="22" customFormat="false" ht="15" hidden="false" customHeight="false" outlineLevel="0" collapsed="false">
      <c r="A22" s="6" t="s">
        <v>48</v>
      </c>
      <c r="B22" s="6"/>
      <c r="C22" s="12" t="n">
        <v>6.4</v>
      </c>
      <c r="D22" s="12" t="n">
        <v>4.3</v>
      </c>
      <c r="E22" s="6"/>
      <c r="F22" s="12" t="n">
        <f aca="false">C22*D22</f>
        <v>27.52</v>
      </c>
      <c r="G22" s="6"/>
      <c r="H22" s="6" t="str">
        <f aca="false">"Los equipos ocupan "&amp;TEXT(SUM(F23:F27),"0.0")&amp;" m² ("&amp;TEXT(SUM(F23:F27)/F22,"0%")&amp;")"</f>
        <v>Los equipos ocupan 6.7 m² (24%)</v>
      </c>
      <c r="I22" s="6" t="s">
        <v>112</v>
      </c>
      <c r="J22" s="6"/>
    </row>
    <row r="23" customFormat="false" ht="15" hidden="false" customHeight="false" outlineLevel="0" collapsed="false">
      <c r="A23" s="2" t="s">
        <v>420</v>
      </c>
      <c r="B23" s="2" t="n">
        <v>1</v>
      </c>
      <c r="C23" s="7" t="n">
        <v>2.3</v>
      </c>
      <c r="D23" s="7" t="n">
        <v>1.14</v>
      </c>
      <c r="E23" s="16" t="s">
        <v>126</v>
      </c>
      <c r="F23" s="7" t="n">
        <f aca="false">C23*D23</f>
        <v>2.622</v>
      </c>
      <c r="G23" s="2" t="s">
        <v>216</v>
      </c>
      <c r="H23" s="2"/>
      <c r="I23" s="2" t="s">
        <v>112</v>
      </c>
      <c r="J23" s="16"/>
    </row>
    <row r="24" customFormat="false" ht="15" hidden="false" customHeight="false" outlineLevel="0" collapsed="false">
      <c r="A24" s="2" t="s">
        <v>421</v>
      </c>
      <c r="B24" s="2" t="n">
        <v>1</v>
      </c>
      <c r="C24" s="7" t="n">
        <v>1.5</v>
      </c>
      <c r="D24" s="7" t="n">
        <v>1.1</v>
      </c>
      <c r="E24" s="16" t="s">
        <v>126</v>
      </c>
      <c r="F24" s="7" t="n">
        <f aca="false">C24*D24</f>
        <v>1.65</v>
      </c>
      <c r="G24" s="2" t="s">
        <v>210</v>
      </c>
      <c r="H24" s="2"/>
      <c r="I24" s="2" t="s">
        <v>112</v>
      </c>
      <c r="J24" s="16"/>
    </row>
    <row r="25" customFormat="false" ht="15" hidden="false" customHeight="false" outlineLevel="0" collapsed="false">
      <c r="A25" s="2" t="s">
        <v>422</v>
      </c>
      <c r="B25" s="2" t="n">
        <v>1</v>
      </c>
      <c r="C25" s="7" t="n">
        <v>1.3</v>
      </c>
      <c r="D25" s="7" t="n">
        <v>0.75</v>
      </c>
      <c r="E25" s="16" t="s">
        <v>126</v>
      </c>
      <c r="F25" s="7" t="n">
        <f aca="false">C25*D25</f>
        <v>0.975</v>
      </c>
      <c r="G25" s="2" t="s">
        <v>213</v>
      </c>
      <c r="H25" s="2"/>
      <c r="I25" s="2" t="s">
        <v>112</v>
      </c>
      <c r="J25" s="16"/>
    </row>
    <row r="26" customFormat="false" ht="15" hidden="false" customHeight="false" outlineLevel="0" collapsed="false">
      <c r="A26" s="2" t="s">
        <v>415</v>
      </c>
      <c r="B26" s="2" t="n">
        <v>1</v>
      </c>
      <c r="C26" s="7" t="n">
        <v>0.9</v>
      </c>
      <c r="D26" s="7" t="n">
        <v>0.7</v>
      </c>
      <c r="E26" s="16" t="s">
        <v>126</v>
      </c>
      <c r="F26" s="7" t="n">
        <f aca="false">C26*D26</f>
        <v>0.63</v>
      </c>
      <c r="G26" s="2" t="s">
        <v>183</v>
      </c>
      <c r="H26" s="2"/>
      <c r="I26" s="2" t="s">
        <v>112</v>
      </c>
      <c r="J26" s="16"/>
    </row>
    <row r="27" customFormat="false" ht="15" hidden="false" customHeight="false" outlineLevel="0" collapsed="false">
      <c r="A27" s="17" t="s">
        <v>423</v>
      </c>
      <c r="B27" s="17" t="n">
        <v>1</v>
      </c>
      <c r="C27" s="18" t="n">
        <v>1</v>
      </c>
      <c r="D27" s="18" t="n">
        <v>0.8</v>
      </c>
      <c r="E27" s="19" t="s">
        <v>126</v>
      </c>
      <c r="F27" s="18" t="n">
        <f aca="false">C27*D27</f>
        <v>0.8</v>
      </c>
      <c r="G27" s="17" t="s">
        <v>200</v>
      </c>
      <c r="H27" s="17"/>
      <c r="I27" s="17" t="s">
        <v>112</v>
      </c>
      <c r="J27" s="19"/>
    </row>
    <row r="29" customFormat="false" ht="15" hidden="false" customHeight="false" outlineLevel="0" collapsed="false">
      <c r="A29" s="6" t="s">
        <v>49</v>
      </c>
      <c r="B29" s="6"/>
      <c r="C29" s="12" t="n">
        <v>4.4</v>
      </c>
      <c r="D29" s="12" t="n">
        <v>4.3</v>
      </c>
      <c r="E29" s="6"/>
      <c r="F29" s="12" t="n">
        <f aca="false">C29*D29</f>
        <v>18.92</v>
      </c>
      <c r="G29" s="6"/>
      <c r="H29" s="6" t="str">
        <f aca="false">"Los equipos ocupan "&amp;TEXT(SUM(F30:F36),"0.0")&amp;" m² ("&amp;TEXT(SUM(F30:F36)/F29,"0%")&amp;")"</f>
        <v>Los equipos ocupan 3.5 m² (18%)</v>
      </c>
      <c r="I29" s="6" t="s">
        <v>112</v>
      </c>
      <c r="J29" s="6"/>
    </row>
    <row r="30" customFormat="false" ht="15" hidden="false" customHeight="false" outlineLevel="0" collapsed="false">
      <c r="A30" s="2" t="s">
        <v>424</v>
      </c>
      <c r="B30" s="2" t="n">
        <v>1</v>
      </c>
      <c r="C30" s="7" t="n">
        <v>0.9</v>
      </c>
      <c r="D30" s="7" t="n">
        <v>0.6</v>
      </c>
      <c r="E30" s="16" t="s">
        <v>126</v>
      </c>
      <c r="F30" s="7" t="n">
        <f aca="false">C30*D30</f>
        <v>0.54</v>
      </c>
      <c r="G30" s="2" t="s">
        <v>216</v>
      </c>
      <c r="H30" s="2"/>
      <c r="I30" s="2" t="s">
        <v>112</v>
      </c>
      <c r="J30" s="16"/>
    </row>
    <row r="31" customFormat="false" ht="15" hidden="false" customHeight="false" outlineLevel="0" collapsed="false">
      <c r="A31" s="2" t="s">
        <v>425</v>
      </c>
      <c r="B31" s="2" t="n">
        <v>1</v>
      </c>
      <c r="C31" s="7" t="n">
        <v>1.07</v>
      </c>
      <c r="D31" s="7" t="n">
        <v>0.7</v>
      </c>
      <c r="E31" s="16" t="s">
        <v>126</v>
      </c>
      <c r="F31" s="7" t="n">
        <f aca="false">C31*D31</f>
        <v>0.749</v>
      </c>
      <c r="G31" s="2" t="s">
        <v>210</v>
      </c>
      <c r="H31" s="2"/>
      <c r="I31" s="2" t="s">
        <v>112</v>
      </c>
      <c r="J31" s="16"/>
    </row>
    <row r="32" customFormat="false" ht="15" hidden="false" customHeight="false" outlineLevel="0" collapsed="false">
      <c r="A32" s="2" t="s">
        <v>426</v>
      </c>
      <c r="B32" s="2" t="n">
        <v>1</v>
      </c>
      <c r="C32" s="7" t="n">
        <v>0.5</v>
      </c>
      <c r="D32" s="7" t="n">
        <v>0.5</v>
      </c>
      <c r="E32" s="16" t="s">
        <v>126</v>
      </c>
      <c r="F32" s="7" t="n">
        <f aca="false">C32*D32</f>
        <v>0.25</v>
      </c>
      <c r="G32" s="2" t="s">
        <v>163</v>
      </c>
      <c r="H32" s="2"/>
      <c r="I32" s="2" t="s">
        <v>112</v>
      </c>
      <c r="J32" s="16"/>
    </row>
    <row r="33" customFormat="false" ht="15" hidden="false" customHeight="false" outlineLevel="0" collapsed="false">
      <c r="A33" s="2" t="s">
        <v>343</v>
      </c>
      <c r="B33" s="2" t="n">
        <v>1</v>
      </c>
      <c r="C33" s="7" t="n">
        <v>0.6</v>
      </c>
      <c r="D33" s="7" t="n">
        <v>0.6</v>
      </c>
      <c r="E33" s="16" t="s">
        <v>126</v>
      </c>
      <c r="F33" s="7" t="n">
        <f aca="false">C33*D33</f>
        <v>0.36</v>
      </c>
      <c r="G33" s="2" t="s">
        <v>213</v>
      </c>
      <c r="H33" s="2"/>
      <c r="I33" s="2" t="s">
        <v>112</v>
      </c>
      <c r="J33" s="16"/>
    </row>
    <row r="34" customFormat="false" ht="15" hidden="false" customHeight="false" outlineLevel="0" collapsed="false">
      <c r="A34" s="2" t="s">
        <v>414</v>
      </c>
      <c r="B34" s="2" t="n">
        <v>1</v>
      </c>
      <c r="C34" s="7" t="n">
        <v>0.9</v>
      </c>
      <c r="D34" s="7" t="n">
        <v>0.5</v>
      </c>
      <c r="E34" s="16" t="s">
        <v>126</v>
      </c>
      <c r="F34" s="7" t="n">
        <f aca="false">C34*D34</f>
        <v>0.45</v>
      </c>
      <c r="G34" s="2" t="s">
        <v>183</v>
      </c>
      <c r="H34" s="2"/>
      <c r="I34" s="2" t="s">
        <v>112</v>
      </c>
      <c r="J34" s="16"/>
    </row>
    <row r="35" customFormat="false" ht="15" hidden="false" customHeight="false" outlineLevel="0" collapsed="false">
      <c r="A35" s="2" t="s">
        <v>427</v>
      </c>
      <c r="B35" s="2" t="n">
        <v>1</v>
      </c>
      <c r="C35" s="7" t="n">
        <v>0.7</v>
      </c>
      <c r="D35" s="7" t="n">
        <v>0.5</v>
      </c>
      <c r="E35" s="16" t="s">
        <v>126</v>
      </c>
      <c r="F35" s="7" t="n">
        <f aca="false">C35*D35</f>
        <v>0.35</v>
      </c>
      <c r="G35" s="2" t="s">
        <v>183</v>
      </c>
      <c r="H35" s="2"/>
      <c r="I35" s="2" t="s">
        <v>112</v>
      </c>
      <c r="J35" s="16"/>
    </row>
    <row r="36" customFormat="false" ht="23.85" hidden="false" customHeight="false" outlineLevel="0" collapsed="false">
      <c r="A36" s="17" t="s">
        <v>428</v>
      </c>
      <c r="B36" s="17" t="n">
        <v>13</v>
      </c>
      <c r="C36" s="18" t="n">
        <v>1.1</v>
      </c>
      <c r="D36" s="18" t="n">
        <v>0.7</v>
      </c>
      <c r="E36" s="19" t="s">
        <v>126</v>
      </c>
      <c r="F36" s="18" t="n">
        <f aca="false">C36*D36</f>
        <v>0.77</v>
      </c>
      <c r="G36" s="17" t="s">
        <v>200</v>
      </c>
      <c r="H36" s="17" t="s">
        <v>429</v>
      </c>
      <c r="I36" s="17" t="s">
        <v>145</v>
      </c>
      <c r="J36" s="19"/>
    </row>
    <row r="38" customFormat="false" ht="23.85" hidden="false" customHeight="false" outlineLevel="0" collapsed="false">
      <c r="A38" s="6" t="s">
        <v>50</v>
      </c>
      <c r="B38" s="6"/>
      <c r="C38" s="12" t="n">
        <v>5.6</v>
      </c>
      <c r="D38" s="12" t="n">
        <v>4.3</v>
      </c>
      <c r="E38" s="6"/>
      <c r="F38" s="12" t="n">
        <f aca="false">C38*D38</f>
        <v>24.08</v>
      </c>
      <c r="G38" s="6"/>
      <c r="H38" s="6" t="str">
        <f aca="false">"Los equipos ocupan "&amp;TEXT(SUM(F39:F47),"0.0")&amp;" m² ("&amp;TEXT(SUM(F39:F47)/F38,"0%")&amp;")"</f>
        <v>Los equipos ocupan 8.4 m² (35%)</v>
      </c>
      <c r="I38" s="6" t="s">
        <v>112</v>
      </c>
      <c r="J38" s="6"/>
    </row>
    <row r="39" customFormat="false" ht="15" hidden="false" customHeight="false" outlineLevel="0" collapsed="false">
      <c r="A39" s="2" t="s">
        <v>412</v>
      </c>
      <c r="B39" s="2" t="n">
        <v>1</v>
      </c>
      <c r="C39" s="7" t="n">
        <v>1.6</v>
      </c>
      <c r="D39" s="7" t="n">
        <v>0.8</v>
      </c>
      <c r="E39" s="16" t="s">
        <v>126</v>
      </c>
      <c r="F39" s="7" t="n">
        <f aca="false">C39*D39</f>
        <v>1.28</v>
      </c>
      <c r="G39" s="2" t="s">
        <v>216</v>
      </c>
      <c r="H39" s="2"/>
      <c r="I39" s="2" t="s">
        <v>112</v>
      </c>
      <c r="J39" s="16"/>
    </row>
    <row r="40" customFormat="false" ht="15" hidden="false" customHeight="false" outlineLevel="0" collapsed="false">
      <c r="A40" s="2" t="s">
        <v>414</v>
      </c>
      <c r="B40" s="2" t="n">
        <v>1</v>
      </c>
      <c r="C40" s="7" t="n">
        <v>0.9</v>
      </c>
      <c r="D40" s="7" t="n">
        <v>0.5</v>
      </c>
      <c r="E40" s="16" t="s">
        <v>126</v>
      </c>
      <c r="F40" s="7" t="n">
        <f aca="false">C40*D40</f>
        <v>0.45</v>
      </c>
      <c r="G40" s="2" t="s">
        <v>299</v>
      </c>
      <c r="H40" s="2"/>
      <c r="I40" s="2" t="s">
        <v>112</v>
      </c>
      <c r="J40" s="16"/>
    </row>
    <row r="41" customFormat="false" ht="15" hidden="false" customHeight="false" outlineLevel="0" collapsed="false">
      <c r="A41" s="2" t="s">
        <v>430</v>
      </c>
      <c r="B41" s="2" t="n">
        <v>1</v>
      </c>
      <c r="C41" s="7" t="n">
        <v>1.1</v>
      </c>
      <c r="D41" s="7" t="n">
        <v>0.65</v>
      </c>
      <c r="E41" s="16" t="s">
        <v>126</v>
      </c>
      <c r="F41" s="7" t="n">
        <f aca="false">C41*D41</f>
        <v>0.715</v>
      </c>
      <c r="G41" s="2" t="s">
        <v>210</v>
      </c>
      <c r="H41" s="2"/>
      <c r="I41" s="2" t="s">
        <v>112</v>
      </c>
      <c r="J41" s="16"/>
    </row>
    <row r="42" customFormat="false" ht="15" hidden="false" customHeight="false" outlineLevel="0" collapsed="false">
      <c r="A42" s="2" t="s">
        <v>431</v>
      </c>
      <c r="B42" s="2" t="n">
        <v>1</v>
      </c>
      <c r="C42" s="7" t="n">
        <v>1.1</v>
      </c>
      <c r="D42" s="7" t="n">
        <v>0.65</v>
      </c>
      <c r="E42" s="16" t="s">
        <v>126</v>
      </c>
      <c r="F42" s="7" t="n">
        <f aca="false">C42*D42</f>
        <v>0.715</v>
      </c>
      <c r="G42" s="2" t="s">
        <v>210</v>
      </c>
      <c r="H42" s="2"/>
      <c r="I42" s="2" t="s">
        <v>112</v>
      </c>
      <c r="J42" s="16"/>
    </row>
    <row r="43" customFormat="false" ht="15" hidden="false" customHeight="false" outlineLevel="0" collapsed="false">
      <c r="A43" s="2" t="s">
        <v>432</v>
      </c>
      <c r="B43" s="2" t="n">
        <v>1</v>
      </c>
      <c r="C43" s="7" t="n">
        <v>0.9</v>
      </c>
      <c r="D43" s="7" t="n">
        <v>0.7</v>
      </c>
      <c r="E43" s="16" t="s">
        <v>126</v>
      </c>
      <c r="F43" s="7" t="n">
        <f aca="false">C43*D43</f>
        <v>0.63</v>
      </c>
      <c r="G43" s="2" t="s">
        <v>210</v>
      </c>
      <c r="H43" s="2"/>
      <c r="I43" s="2" t="s">
        <v>112</v>
      </c>
      <c r="J43" s="16"/>
    </row>
    <row r="44" customFormat="false" ht="15" hidden="false" customHeight="false" outlineLevel="0" collapsed="false">
      <c r="A44" s="2" t="s">
        <v>427</v>
      </c>
      <c r="B44" s="2" t="n">
        <v>1</v>
      </c>
      <c r="C44" s="7" t="n">
        <v>0.9</v>
      </c>
      <c r="D44" s="7" t="n">
        <v>0.55</v>
      </c>
      <c r="E44" s="16" t="s">
        <v>126</v>
      </c>
      <c r="F44" s="7" t="n">
        <f aca="false">C44*D44</f>
        <v>0.495</v>
      </c>
      <c r="G44" s="2" t="s">
        <v>183</v>
      </c>
      <c r="H44" s="2"/>
      <c r="I44" s="2" t="s">
        <v>112</v>
      </c>
      <c r="J44" s="16"/>
    </row>
    <row r="45" customFormat="false" ht="15" hidden="false" customHeight="false" outlineLevel="0" collapsed="false">
      <c r="A45" s="2" t="s">
        <v>433</v>
      </c>
      <c r="B45" s="2" t="n">
        <v>1</v>
      </c>
      <c r="C45" s="7" t="n">
        <v>0.9</v>
      </c>
      <c r="D45" s="7" t="n">
        <v>0.7</v>
      </c>
      <c r="E45" s="16" t="s">
        <v>126</v>
      </c>
      <c r="F45" s="7" t="n">
        <f aca="false">C45*D45</f>
        <v>0.63</v>
      </c>
      <c r="G45" s="2" t="s">
        <v>213</v>
      </c>
      <c r="H45" s="2"/>
      <c r="I45" s="2" t="s">
        <v>112</v>
      </c>
      <c r="J45" s="16"/>
    </row>
    <row r="46" customFormat="false" ht="15" hidden="false" customHeight="false" outlineLevel="0" collapsed="false">
      <c r="A46" s="2" t="s">
        <v>423</v>
      </c>
      <c r="B46" s="2" t="n">
        <v>1</v>
      </c>
      <c r="C46" s="7" t="n">
        <v>0.6</v>
      </c>
      <c r="D46" s="7" t="n">
        <v>0.6</v>
      </c>
      <c r="E46" s="16" t="s">
        <v>126</v>
      </c>
      <c r="F46" s="7" t="n">
        <f aca="false">C46*D46</f>
        <v>0.36</v>
      </c>
      <c r="G46" s="2" t="s">
        <v>213</v>
      </c>
      <c r="H46" s="2"/>
      <c r="I46" s="2" t="s">
        <v>112</v>
      </c>
      <c r="J46" s="16"/>
    </row>
    <row r="47" customFormat="false" ht="23.85" hidden="false" customHeight="false" outlineLevel="0" collapsed="false">
      <c r="A47" s="17" t="s">
        <v>434</v>
      </c>
      <c r="B47" s="17" t="n">
        <v>11</v>
      </c>
      <c r="C47" s="18" t="n">
        <v>1.8</v>
      </c>
      <c r="D47" s="18" t="n">
        <v>1.75</v>
      </c>
      <c r="E47" s="19" t="s">
        <v>126</v>
      </c>
      <c r="F47" s="18" t="n">
        <f aca="false">C47*D47</f>
        <v>3.15</v>
      </c>
      <c r="G47" s="17" t="s">
        <v>163</v>
      </c>
      <c r="H47" s="17" t="s">
        <v>435</v>
      </c>
      <c r="I47" s="17" t="s">
        <v>145</v>
      </c>
      <c r="J47" s="19"/>
    </row>
    <row r="49" customFormat="false" ht="15" hidden="false" customHeight="false" outlineLevel="0" collapsed="false">
      <c r="A49" s="6" t="s">
        <v>51</v>
      </c>
      <c r="B49" s="6"/>
      <c r="C49" s="12" t="n">
        <v>5</v>
      </c>
      <c r="D49" s="12" t="n">
        <v>4.3</v>
      </c>
      <c r="E49" s="6"/>
      <c r="F49" s="12" t="n">
        <f aca="false">C49*D49</f>
        <v>21.5</v>
      </c>
      <c r="G49" s="6"/>
      <c r="H49" s="6" t="str">
        <f aca="false">"Los equipos ocupan "&amp;TEXT(SUM(F50:F60),"0.0")&amp;" m² ("&amp;TEXT(SUM(F50:F60)/F49,"0%")&amp;")"</f>
        <v>Los equipos ocupan 7.5 m² (35%)</v>
      </c>
      <c r="I49" s="6" t="s">
        <v>112</v>
      </c>
      <c r="J49" s="6"/>
    </row>
    <row r="50" customFormat="false" ht="15" hidden="false" customHeight="false" outlineLevel="0" collapsed="false">
      <c r="A50" s="2" t="s">
        <v>412</v>
      </c>
      <c r="B50" s="2" t="n">
        <v>1</v>
      </c>
      <c r="C50" s="7" t="n">
        <v>1.6</v>
      </c>
      <c r="D50" s="7" t="n">
        <v>0.8</v>
      </c>
      <c r="E50" s="16" t="s">
        <v>126</v>
      </c>
      <c r="F50" s="7" t="n">
        <f aca="false">C50*D50</f>
        <v>1.28</v>
      </c>
      <c r="G50" s="2" t="s">
        <v>216</v>
      </c>
      <c r="H50" s="2"/>
      <c r="I50" s="2" t="s">
        <v>112</v>
      </c>
      <c r="J50" s="16"/>
    </row>
    <row r="51" customFormat="false" ht="15" hidden="false" customHeight="false" outlineLevel="0" collapsed="false">
      <c r="A51" s="2" t="s">
        <v>436</v>
      </c>
      <c r="B51" s="2" t="n">
        <v>1</v>
      </c>
      <c r="C51" s="7" t="n">
        <v>0.9</v>
      </c>
      <c r="D51" s="7" t="n">
        <v>0.6</v>
      </c>
      <c r="E51" s="16" t="s">
        <v>126</v>
      </c>
      <c r="F51" s="7" t="n">
        <f aca="false">C51*D51</f>
        <v>0.54</v>
      </c>
      <c r="G51" s="2" t="s">
        <v>213</v>
      </c>
      <c r="H51" s="2"/>
      <c r="I51" s="2" t="s">
        <v>112</v>
      </c>
      <c r="J51" s="16"/>
    </row>
    <row r="52" customFormat="false" ht="15" hidden="false" customHeight="false" outlineLevel="0" collapsed="false">
      <c r="A52" s="2" t="s">
        <v>437</v>
      </c>
      <c r="B52" s="2" t="n">
        <v>1</v>
      </c>
      <c r="C52" s="7" t="n">
        <v>0.5</v>
      </c>
      <c r="D52" s="7" t="n">
        <v>1.7</v>
      </c>
      <c r="E52" s="16" t="s">
        <v>126</v>
      </c>
      <c r="F52" s="7" t="n">
        <f aca="false">C52*D52</f>
        <v>0.85</v>
      </c>
      <c r="G52" s="2" t="s">
        <v>163</v>
      </c>
      <c r="H52" s="2"/>
      <c r="I52" s="2" t="s">
        <v>112</v>
      </c>
      <c r="J52" s="16"/>
    </row>
    <row r="53" customFormat="false" ht="15" hidden="false" customHeight="false" outlineLevel="0" collapsed="false">
      <c r="A53" s="2" t="s">
        <v>438</v>
      </c>
      <c r="B53" s="2" t="n">
        <v>1</v>
      </c>
      <c r="C53" s="7" t="n">
        <v>0.5</v>
      </c>
      <c r="D53" s="7" t="n">
        <v>1.7</v>
      </c>
      <c r="E53" s="16" t="s">
        <v>126</v>
      </c>
      <c r="F53" s="7" t="n">
        <f aca="false">C53*D53</f>
        <v>0.85</v>
      </c>
      <c r="G53" s="2" t="s">
        <v>163</v>
      </c>
      <c r="H53" s="2"/>
      <c r="I53" s="2" t="s">
        <v>112</v>
      </c>
      <c r="J53" s="16"/>
    </row>
    <row r="54" customFormat="false" ht="15" hidden="false" customHeight="false" outlineLevel="0" collapsed="false">
      <c r="A54" s="2" t="s">
        <v>439</v>
      </c>
      <c r="B54" s="2" t="n">
        <v>1</v>
      </c>
      <c r="C54" s="7" t="n">
        <v>1.1</v>
      </c>
      <c r="D54" s="7" t="n">
        <v>0.4</v>
      </c>
      <c r="E54" s="16" t="s">
        <v>126</v>
      </c>
      <c r="F54" s="7" t="n">
        <f aca="false">C54*D54</f>
        <v>0.44</v>
      </c>
      <c r="G54" s="2" t="s">
        <v>213</v>
      </c>
      <c r="H54" s="2"/>
      <c r="I54" s="2" t="s">
        <v>112</v>
      </c>
      <c r="J54" s="16"/>
    </row>
    <row r="55" customFormat="false" ht="15" hidden="false" customHeight="false" outlineLevel="0" collapsed="false">
      <c r="A55" s="2" t="s">
        <v>427</v>
      </c>
      <c r="B55" s="2" t="n">
        <v>1</v>
      </c>
      <c r="C55" s="7" t="n">
        <v>1.05</v>
      </c>
      <c r="D55" s="7" t="n">
        <v>0.52</v>
      </c>
      <c r="E55" s="16" t="s">
        <v>126</v>
      </c>
      <c r="F55" s="7" t="n">
        <f aca="false">C55*D55</f>
        <v>0.546</v>
      </c>
      <c r="G55" s="2" t="s">
        <v>183</v>
      </c>
      <c r="H55" s="2"/>
      <c r="I55" s="2" t="s">
        <v>112</v>
      </c>
      <c r="J55" s="16"/>
    </row>
    <row r="56" customFormat="false" ht="15" hidden="false" customHeight="false" outlineLevel="0" collapsed="false">
      <c r="A56" s="2" t="s">
        <v>415</v>
      </c>
      <c r="B56" s="2" t="n">
        <v>1</v>
      </c>
      <c r="C56" s="7" t="n">
        <v>0.9</v>
      </c>
      <c r="D56" s="7" t="n">
        <v>0.7</v>
      </c>
      <c r="E56" s="16" t="s">
        <v>126</v>
      </c>
      <c r="F56" s="7" t="n">
        <f aca="false">C56*D56</f>
        <v>0.63</v>
      </c>
      <c r="G56" s="2" t="s">
        <v>299</v>
      </c>
      <c r="H56" s="2"/>
      <c r="I56" s="2" t="s">
        <v>112</v>
      </c>
      <c r="J56" s="16"/>
    </row>
    <row r="57" customFormat="false" ht="15" hidden="false" customHeight="false" outlineLevel="0" collapsed="false">
      <c r="A57" s="2" t="s">
        <v>414</v>
      </c>
      <c r="B57" s="2" t="n">
        <v>1</v>
      </c>
      <c r="C57" s="7" t="n">
        <v>0.9</v>
      </c>
      <c r="D57" s="7" t="n">
        <v>0.5</v>
      </c>
      <c r="E57" s="16" t="s">
        <v>126</v>
      </c>
      <c r="F57" s="7" t="n">
        <f aca="false">C57*D57</f>
        <v>0.45</v>
      </c>
      <c r="G57" s="2" t="s">
        <v>299</v>
      </c>
      <c r="H57" s="2"/>
      <c r="I57" s="2" t="s">
        <v>112</v>
      </c>
      <c r="J57" s="16"/>
    </row>
    <row r="58" customFormat="false" ht="15" hidden="false" customHeight="false" outlineLevel="0" collapsed="false">
      <c r="A58" s="2" t="s">
        <v>440</v>
      </c>
      <c r="B58" s="2" t="n">
        <v>1</v>
      </c>
      <c r="C58" s="7" t="n">
        <v>1.1</v>
      </c>
      <c r="D58" s="7" t="n">
        <v>0.6</v>
      </c>
      <c r="E58" s="2" t="s">
        <v>122</v>
      </c>
      <c r="F58" s="7" t="n">
        <f aca="false">C58*D58</f>
        <v>0.66</v>
      </c>
      <c r="G58" s="2" t="s">
        <v>213</v>
      </c>
      <c r="H58" s="2"/>
      <c r="I58" s="2" t="s">
        <v>112</v>
      </c>
      <c r="J58" s="16"/>
    </row>
    <row r="59" customFormat="false" ht="15" hidden="false" customHeight="false" outlineLevel="0" collapsed="false">
      <c r="A59" s="2" t="s">
        <v>441</v>
      </c>
      <c r="B59" s="2" t="n">
        <v>1</v>
      </c>
      <c r="C59" s="7" t="n">
        <v>1.15</v>
      </c>
      <c r="D59" s="7" t="n">
        <v>0.75</v>
      </c>
      <c r="E59" s="16" t="s">
        <v>126</v>
      </c>
      <c r="F59" s="7" t="n">
        <f aca="false">C59*D59</f>
        <v>0.8625</v>
      </c>
      <c r="G59" s="2" t="s">
        <v>200</v>
      </c>
      <c r="H59" s="2"/>
      <c r="I59" s="2" t="s">
        <v>112</v>
      </c>
      <c r="J59" s="16"/>
    </row>
    <row r="60" customFormat="false" ht="23.85" hidden="false" customHeight="false" outlineLevel="0" collapsed="false">
      <c r="A60" s="17" t="s">
        <v>442</v>
      </c>
      <c r="B60" s="17" t="n">
        <v>1</v>
      </c>
      <c r="C60" s="18" t="n">
        <v>0.6</v>
      </c>
      <c r="D60" s="18" t="n">
        <v>0.6</v>
      </c>
      <c r="E60" s="19" t="s">
        <v>126</v>
      </c>
      <c r="F60" s="18" t="n">
        <f aca="false">C60*D60</f>
        <v>0.36</v>
      </c>
      <c r="G60" s="17" t="s">
        <v>312</v>
      </c>
      <c r="H60" s="17" t="s">
        <v>443</v>
      </c>
      <c r="I60" s="17" t="s">
        <v>145</v>
      </c>
      <c r="J60" s="19"/>
    </row>
    <row r="62" customFormat="false" ht="15" hidden="false" customHeight="false" outlineLevel="0" collapsed="false">
      <c r="A62" s="6" t="s">
        <v>52</v>
      </c>
      <c r="B62" s="6"/>
      <c r="C62" s="12" t="n">
        <v>7.9</v>
      </c>
      <c r="D62" s="12" t="n">
        <v>4.4</v>
      </c>
      <c r="E62" s="6"/>
      <c r="F62" s="12" t="n">
        <f aca="false">C62*D62</f>
        <v>34.76</v>
      </c>
      <c r="G62" s="6"/>
      <c r="H62" s="6" t="str">
        <f aca="false">"Los equipos ocupan "&amp;TEXT(SUM(F63:F71),"0.0")&amp;" m² ("&amp;TEXT(SUM(F63:F71)/F62,"0%")&amp;")"</f>
        <v>Los equipos ocupan 13.1 m² (38%)</v>
      </c>
      <c r="I62" s="6" t="s">
        <v>112</v>
      </c>
      <c r="J62" s="6"/>
    </row>
    <row r="63" customFormat="false" ht="15" hidden="false" customHeight="false" outlineLevel="0" collapsed="false">
      <c r="A63" s="2" t="s">
        <v>444</v>
      </c>
      <c r="B63" s="2" t="n">
        <v>1</v>
      </c>
      <c r="C63" s="7" t="n">
        <v>6.5</v>
      </c>
      <c r="D63" s="7" t="n">
        <v>0.6</v>
      </c>
      <c r="E63" s="16" t="s">
        <v>126</v>
      </c>
      <c r="F63" s="7" t="n">
        <f aca="false">C63*D63</f>
        <v>3.9</v>
      </c>
      <c r="G63" s="2" t="s">
        <v>292</v>
      </c>
      <c r="H63" s="2" t="s">
        <v>445</v>
      </c>
      <c r="I63" s="2" t="s">
        <v>112</v>
      </c>
      <c r="J63" s="16" t="s">
        <v>446</v>
      </c>
    </row>
    <row r="64" customFormat="false" ht="15" hidden="false" customHeight="false" outlineLevel="0" collapsed="false">
      <c r="A64" s="2" t="s">
        <v>447</v>
      </c>
      <c r="B64" s="2" t="n">
        <v>1</v>
      </c>
      <c r="C64" s="7" t="n">
        <v>6.5</v>
      </c>
      <c r="D64" s="7" t="n">
        <v>0.6</v>
      </c>
      <c r="E64" s="16" t="s">
        <v>126</v>
      </c>
      <c r="F64" s="7" t="n">
        <f aca="false">C64*D64</f>
        <v>3.9</v>
      </c>
      <c r="G64" s="2" t="s">
        <v>299</v>
      </c>
      <c r="H64" s="2" t="s">
        <v>448</v>
      </c>
      <c r="I64" s="2" t="s">
        <v>112</v>
      </c>
      <c r="J64" s="16"/>
    </row>
    <row r="65" customFormat="false" ht="15" hidden="false" customHeight="false" outlineLevel="0" collapsed="false">
      <c r="A65" s="2" t="s">
        <v>449</v>
      </c>
      <c r="B65" s="2" t="n">
        <v>1</v>
      </c>
      <c r="C65" s="7" t="n">
        <v>0.9</v>
      </c>
      <c r="D65" s="7" t="n">
        <v>0.7</v>
      </c>
      <c r="E65" s="16" t="s">
        <v>126</v>
      </c>
      <c r="F65" s="7" t="n">
        <f aca="false">C65*D65</f>
        <v>0.63</v>
      </c>
      <c r="G65" s="2" t="s">
        <v>312</v>
      </c>
      <c r="H65" s="2"/>
      <c r="I65" s="2" t="s">
        <v>112</v>
      </c>
      <c r="J65" s="16"/>
    </row>
    <row r="66" customFormat="false" ht="15" hidden="false" customHeight="false" outlineLevel="0" collapsed="false">
      <c r="A66" s="2" t="s">
        <v>450</v>
      </c>
      <c r="B66" s="2" t="n">
        <v>1</v>
      </c>
      <c r="C66" s="7" t="n">
        <v>0.7</v>
      </c>
      <c r="D66" s="7" t="n">
        <v>0.6</v>
      </c>
      <c r="E66" s="16" t="s">
        <v>126</v>
      </c>
      <c r="F66" s="7" t="n">
        <f aca="false">C66*D66</f>
        <v>0.42</v>
      </c>
      <c r="G66" s="2" t="s">
        <v>262</v>
      </c>
      <c r="H66" s="2"/>
      <c r="I66" s="2" t="s">
        <v>112</v>
      </c>
      <c r="J66" s="16"/>
    </row>
    <row r="67" customFormat="false" ht="15" hidden="false" customHeight="false" outlineLevel="0" collapsed="false">
      <c r="A67" s="2" t="s">
        <v>451</v>
      </c>
      <c r="B67" s="2" t="n">
        <v>1</v>
      </c>
      <c r="C67" s="7" t="n">
        <v>1.5</v>
      </c>
      <c r="D67" s="7" t="n">
        <v>0.7</v>
      </c>
      <c r="E67" s="16" t="s">
        <v>126</v>
      </c>
      <c r="F67" s="7" t="n">
        <f aca="false">C67*D67</f>
        <v>1.05</v>
      </c>
      <c r="G67" s="2" t="s">
        <v>262</v>
      </c>
      <c r="H67" s="2"/>
      <c r="I67" s="2" t="s">
        <v>112</v>
      </c>
      <c r="J67" s="16"/>
    </row>
    <row r="68" customFormat="false" ht="15" hidden="false" customHeight="false" outlineLevel="0" collapsed="false">
      <c r="A68" s="2" t="s">
        <v>452</v>
      </c>
      <c r="B68" s="2" t="n">
        <v>1</v>
      </c>
      <c r="C68" s="7" t="n">
        <v>1.5</v>
      </c>
      <c r="D68" s="7" t="n">
        <v>0.6</v>
      </c>
      <c r="E68" s="16" t="s">
        <v>126</v>
      </c>
      <c r="F68" s="7" t="n">
        <f aca="false">C68*D68</f>
        <v>0.9</v>
      </c>
      <c r="G68" s="2" t="s">
        <v>216</v>
      </c>
      <c r="H68" s="2" t="s">
        <v>453</v>
      </c>
      <c r="I68" s="2" t="s">
        <v>112</v>
      </c>
      <c r="J68" s="16"/>
    </row>
    <row r="69" customFormat="false" ht="15" hidden="false" customHeight="false" outlineLevel="0" collapsed="false">
      <c r="A69" s="2" t="s">
        <v>454</v>
      </c>
      <c r="B69" s="2" t="n">
        <v>1</v>
      </c>
      <c r="C69" s="7" t="n">
        <v>1.5</v>
      </c>
      <c r="D69" s="7" t="n">
        <v>0.6</v>
      </c>
      <c r="E69" s="16" t="s">
        <v>126</v>
      </c>
      <c r="F69" s="7" t="n">
        <f aca="false">C69*D69</f>
        <v>0.9</v>
      </c>
      <c r="G69" s="2" t="s">
        <v>216</v>
      </c>
      <c r="H69" s="2"/>
      <c r="I69" s="2" t="s">
        <v>112</v>
      </c>
      <c r="J69" s="16"/>
    </row>
    <row r="70" customFormat="false" ht="15" hidden="false" customHeight="false" outlineLevel="0" collapsed="false">
      <c r="A70" s="2" t="s">
        <v>455</v>
      </c>
      <c r="B70" s="2" t="n">
        <v>1</v>
      </c>
      <c r="C70" s="7" t="n">
        <v>1.2</v>
      </c>
      <c r="D70" s="7" t="n">
        <v>0.6</v>
      </c>
      <c r="E70" s="16" t="s">
        <v>126</v>
      </c>
      <c r="F70" s="7" t="n">
        <f aca="false">C70*D70</f>
        <v>0.72</v>
      </c>
      <c r="G70" s="2" t="s">
        <v>163</v>
      </c>
      <c r="H70" s="2"/>
      <c r="I70" s="2" t="s">
        <v>112</v>
      </c>
      <c r="J70" s="16"/>
    </row>
    <row r="71" customFormat="false" ht="15" hidden="false" customHeight="false" outlineLevel="0" collapsed="false">
      <c r="A71" s="17" t="s">
        <v>456</v>
      </c>
      <c r="B71" s="17" t="n">
        <v>1</v>
      </c>
      <c r="C71" s="18" t="n">
        <v>1.1</v>
      </c>
      <c r="D71" s="18" t="n">
        <v>0.6</v>
      </c>
      <c r="E71" s="19" t="s">
        <v>126</v>
      </c>
      <c r="F71" s="18" t="n">
        <f aca="false">C71*D71</f>
        <v>0.66</v>
      </c>
      <c r="G71" s="17" t="s">
        <v>213</v>
      </c>
      <c r="H71" s="17"/>
      <c r="I71" s="17" t="s">
        <v>112</v>
      </c>
      <c r="J71" s="19"/>
    </row>
    <row r="73" customFormat="false" ht="23.85" hidden="false" customHeight="false" outlineLevel="0" collapsed="false">
      <c r="A73" s="6" t="s">
        <v>53</v>
      </c>
      <c r="B73" s="6"/>
      <c r="C73" s="12" t="n">
        <v>1.5</v>
      </c>
      <c r="D73" s="12" t="n">
        <v>4.4</v>
      </c>
      <c r="E73" s="6"/>
      <c r="F73" s="12" t="n">
        <f aca="false">C73*D73</f>
        <v>6.6</v>
      </c>
      <c r="G73" s="6"/>
      <c r="H73" s="6" t="str">
        <f aca="false">"Los equipos ocupan "&amp;TEXT(SUM(F74:F75),"0.0")&amp;" m² ("&amp;TEXT(SUM(F74:F75)/F73,"0%")&amp;")"</f>
        <v>Los equipos ocupan 2.4 m² (36%)</v>
      </c>
      <c r="I73" s="6" t="s">
        <v>112</v>
      </c>
      <c r="J73" s="6"/>
    </row>
    <row r="74" customFormat="false" ht="15" hidden="false" customHeight="false" outlineLevel="0" collapsed="false">
      <c r="A74" s="2" t="s">
        <v>457</v>
      </c>
      <c r="B74" s="2" t="n">
        <v>3</v>
      </c>
      <c r="C74" s="7" t="n">
        <v>0.52</v>
      </c>
      <c r="D74" s="7" t="n">
        <v>3.5</v>
      </c>
      <c r="E74" s="16" t="s">
        <v>126</v>
      </c>
      <c r="F74" s="7" t="n">
        <f aca="false">C74*D74</f>
        <v>1.82</v>
      </c>
      <c r="G74" s="2" t="s">
        <v>213</v>
      </c>
      <c r="H74" s="2" t="s">
        <v>458</v>
      </c>
      <c r="I74" s="2" t="s">
        <v>112</v>
      </c>
      <c r="J74" s="16"/>
    </row>
    <row r="75" customFormat="false" ht="15" hidden="false" customHeight="false" outlineLevel="0" collapsed="false">
      <c r="A75" s="17" t="s">
        <v>456</v>
      </c>
      <c r="B75" s="17" t="n">
        <v>1</v>
      </c>
      <c r="C75" s="18" t="n">
        <v>0.62</v>
      </c>
      <c r="D75" s="18" t="n">
        <v>0.9</v>
      </c>
      <c r="E75" s="19" t="s">
        <v>126</v>
      </c>
      <c r="F75" s="18" t="n">
        <f aca="false">C75*D75</f>
        <v>0.558</v>
      </c>
      <c r="G75" s="17" t="s">
        <v>210</v>
      </c>
      <c r="H75" s="17"/>
      <c r="I75" s="17" t="s">
        <v>112</v>
      </c>
      <c r="J75" s="19"/>
    </row>
    <row r="77" customFormat="false" ht="23.85" hidden="false" customHeight="false" outlineLevel="0" collapsed="false">
      <c r="A77" s="6" t="s">
        <v>54</v>
      </c>
      <c r="B77" s="6"/>
      <c r="C77" s="12" t="n">
        <v>6.3</v>
      </c>
      <c r="D77" s="12" t="n">
        <v>5.45</v>
      </c>
      <c r="E77" s="6"/>
      <c r="F77" s="12" t="n">
        <f aca="false">C77*D77</f>
        <v>34.335</v>
      </c>
      <c r="G77" s="6"/>
      <c r="H77" s="6" t="str">
        <f aca="false">"Los equipos ocupan "&amp;TEXT(SUM(F78:F80),"0.0")&amp;" m² ("&amp;TEXT(SUM(F78:F80)/F77,"0%")&amp;")"</f>
        <v>Los equipos ocupan 22.2 m² (65%)</v>
      </c>
      <c r="I77" s="6" t="s">
        <v>112</v>
      </c>
      <c r="J77" s="6"/>
    </row>
    <row r="78" customFormat="false" ht="15" hidden="false" customHeight="false" outlineLevel="0" collapsed="false">
      <c r="A78" s="2" t="s">
        <v>459</v>
      </c>
      <c r="B78" s="2" t="n">
        <v>1</v>
      </c>
      <c r="C78" s="7" t="n">
        <v>6.2</v>
      </c>
      <c r="D78" s="7" t="n">
        <v>0.75</v>
      </c>
      <c r="E78" s="2" t="s">
        <v>122</v>
      </c>
      <c r="F78" s="7" t="n">
        <f aca="false">C78*D78</f>
        <v>4.65</v>
      </c>
      <c r="G78" s="2" t="s">
        <v>254</v>
      </c>
      <c r="H78" s="2" t="s">
        <v>460</v>
      </c>
      <c r="I78" s="2" t="s">
        <v>112</v>
      </c>
      <c r="J78" s="16"/>
    </row>
    <row r="79" customFormat="false" ht="35.05" hidden="false" customHeight="false" outlineLevel="0" collapsed="false">
      <c r="A79" s="2" t="s">
        <v>461</v>
      </c>
      <c r="B79" s="2" t="n">
        <v>29</v>
      </c>
      <c r="C79" s="7" t="n">
        <v>5.72</v>
      </c>
      <c r="D79" s="7" t="n">
        <v>1.69</v>
      </c>
      <c r="E79" s="16" t="s">
        <v>126</v>
      </c>
      <c r="F79" s="7" t="n">
        <f aca="false">C79*D79</f>
        <v>9.6668</v>
      </c>
      <c r="G79" s="2" t="s">
        <v>462</v>
      </c>
      <c r="H79" s="2" t="s">
        <v>463</v>
      </c>
      <c r="I79" s="2" t="s">
        <v>145</v>
      </c>
      <c r="J79" s="16"/>
    </row>
    <row r="80" customFormat="false" ht="15" hidden="false" customHeight="false" outlineLevel="0" collapsed="false">
      <c r="A80" s="17" t="s">
        <v>464</v>
      </c>
      <c r="B80" s="17" t="n">
        <v>18</v>
      </c>
      <c r="C80" s="18" t="n">
        <v>6.04</v>
      </c>
      <c r="D80" s="18" t="n">
        <v>1.3</v>
      </c>
      <c r="E80" s="19" t="s">
        <v>126</v>
      </c>
      <c r="F80" s="18" t="n">
        <f aca="false">C80*D80</f>
        <v>7.852</v>
      </c>
      <c r="G80" s="17" t="s">
        <v>465</v>
      </c>
      <c r="H80" s="17" t="s">
        <v>466</v>
      </c>
      <c r="I80" s="17" t="s">
        <v>112</v>
      </c>
      <c r="J80" s="19"/>
    </row>
    <row r="82" customFormat="false" ht="23.85" hidden="false" customHeight="false" outlineLevel="0" collapsed="false">
      <c r="A82" s="6" t="s">
        <v>55</v>
      </c>
      <c r="B82" s="6"/>
      <c r="C82" s="12" t="n">
        <v>9.9</v>
      </c>
      <c r="D82" s="12" t="n">
        <v>4.5</v>
      </c>
      <c r="E82" s="6"/>
      <c r="F82" s="12" t="n">
        <f aca="false">C82*D82</f>
        <v>44.55</v>
      </c>
      <c r="G82" s="6"/>
      <c r="H82" s="6" t="str">
        <f aca="false">"Los equipos ocupan "&amp;TEXT(SUM(F83:F87),"0.0")&amp;" m² ("&amp;TEXT(SUM(F83:F87)/F82,"0%")&amp;")"</f>
        <v>Los equipos ocupan 26.9 m² (60%)</v>
      </c>
      <c r="I82" s="6" t="s">
        <v>112</v>
      </c>
      <c r="J82" s="6"/>
    </row>
    <row r="83" customFormat="false" ht="23.85" hidden="false" customHeight="false" outlineLevel="0" collapsed="false">
      <c r="A83" s="2" t="s">
        <v>467</v>
      </c>
      <c r="B83" s="2" t="n">
        <v>29</v>
      </c>
      <c r="C83" s="7" t="n">
        <v>7.3</v>
      </c>
      <c r="D83" s="7" t="n">
        <v>2.45</v>
      </c>
      <c r="E83" s="16" t="s">
        <v>126</v>
      </c>
      <c r="F83" s="7" t="n">
        <f aca="false">C83*D83</f>
        <v>17.885</v>
      </c>
      <c r="G83" s="2" t="s">
        <v>262</v>
      </c>
      <c r="H83" s="2" t="s">
        <v>468</v>
      </c>
      <c r="I83" s="2" t="s">
        <v>145</v>
      </c>
      <c r="J83" s="16"/>
    </row>
    <row r="84" customFormat="false" ht="15" hidden="false" customHeight="false" outlineLevel="0" collapsed="false">
      <c r="A84" s="2" t="s">
        <v>469</v>
      </c>
      <c r="B84" s="2" t="n">
        <v>1</v>
      </c>
      <c r="C84" s="7" t="n">
        <v>2</v>
      </c>
      <c r="D84" s="7" t="n">
        <v>0.8</v>
      </c>
      <c r="E84" s="16" t="s">
        <v>126</v>
      </c>
      <c r="F84" s="7" t="n">
        <f aca="false">C84*D84</f>
        <v>1.6</v>
      </c>
      <c r="G84" s="2" t="s">
        <v>163</v>
      </c>
      <c r="H84" s="2"/>
      <c r="I84" s="2" t="s">
        <v>112</v>
      </c>
      <c r="J84" s="16"/>
    </row>
    <row r="85" customFormat="false" ht="15" hidden="false" customHeight="false" outlineLevel="0" collapsed="false">
      <c r="A85" s="2" t="s">
        <v>470</v>
      </c>
      <c r="B85" s="2" t="n">
        <v>1</v>
      </c>
      <c r="C85" s="7" t="n">
        <v>2.4</v>
      </c>
      <c r="D85" s="7" t="n">
        <v>1.25</v>
      </c>
      <c r="E85" s="16" t="s">
        <v>126</v>
      </c>
      <c r="F85" s="7" t="n">
        <f aca="false">C85*D85</f>
        <v>3</v>
      </c>
      <c r="G85" s="2" t="s">
        <v>183</v>
      </c>
      <c r="H85" s="2"/>
      <c r="I85" s="2" t="s">
        <v>112</v>
      </c>
      <c r="J85" s="16"/>
    </row>
    <row r="86" customFormat="false" ht="15" hidden="false" customHeight="false" outlineLevel="0" collapsed="false">
      <c r="A86" s="2" t="s">
        <v>471</v>
      </c>
      <c r="B86" s="2" t="n">
        <v>1</v>
      </c>
      <c r="C86" s="7" t="n">
        <v>2.4</v>
      </c>
      <c r="D86" s="7" t="n">
        <v>1.25</v>
      </c>
      <c r="E86" s="16" t="s">
        <v>126</v>
      </c>
      <c r="F86" s="7" t="n">
        <f aca="false">C86*D86</f>
        <v>3</v>
      </c>
      <c r="G86" s="2" t="s">
        <v>299</v>
      </c>
      <c r="H86" s="2"/>
      <c r="I86" s="2" t="s">
        <v>112</v>
      </c>
      <c r="J86" s="16"/>
    </row>
    <row r="87" customFormat="false" ht="15" hidden="false" customHeight="false" outlineLevel="0" collapsed="false">
      <c r="A87" s="17" t="s">
        <v>472</v>
      </c>
      <c r="B87" s="17" t="n">
        <v>1</v>
      </c>
      <c r="C87" s="18" t="n">
        <v>1.1</v>
      </c>
      <c r="D87" s="18" t="n">
        <v>1.25</v>
      </c>
      <c r="E87" s="19" t="s">
        <v>126</v>
      </c>
      <c r="F87" s="18" t="n">
        <f aca="false">C87*D87</f>
        <v>1.375</v>
      </c>
      <c r="G87" s="17" t="s">
        <v>299</v>
      </c>
      <c r="H87" s="17"/>
      <c r="I87" s="17" t="s">
        <v>112</v>
      </c>
      <c r="J87" s="19"/>
    </row>
    <row r="89" customFormat="false" ht="23.85" hidden="false" customHeight="false" outlineLevel="0" collapsed="false">
      <c r="A89" s="6" t="s">
        <v>56</v>
      </c>
      <c r="B89" s="6"/>
      <c r="C89" s="12" t="n">
        <v>12.3</v>
      </c>
      <c r="D89" s="12" t="n">
        <v>4.35</v>
      </c>
      <c r="E89" s="6"/>
      <c r="F89" s="12" t="n">
        <f aca="false">C89*D89</f>
        <v>53.505</v>
      </c>
      <c r="G89" s="6"/>
      <c r="H89" s="6" t="str">
        <f aca="false">"Los equipos ocupan "&amp;TEXT(SUM(F90:F96),"0.0")&amp;" m² ("&amp;TEXT(SUM(F90:F96)/F89,"0%")&amp;")"</f>
        <v>Los equipos ocupan 21.5 m² (40%)</v>
      </c>
      <c r="I89" s="6" t="s">
        <v>112</v>
      </c>
      <c r="J89" s="6"/>
    </row>
    <row r="90" customFormat="false" ht="15" hidden="false" customHeight="false" outlineLevel="0" collapsed="false">
      <c r="A90" s="15" t="s">
        <v>473</v>
      </c>
      <c r="B90" s="15"/>
      <c r="C90" s="15"/>
      <c r="D90" s="15"/>
      <c r="E90" s="15"/>
      <c r="F90" s="15"/>
      <c r="G90" s="15"/>
      <c r="H90" s="15"/>
      <c r="I90" s="15" t="s">
        <v>114</v>
      </c>
      <c r="J90" s="15"/>
    </row>
    <row r="91" customFormat="false" ht="15" hidden="false" customHeight="false" outlineLevel="0" collapsed="false">
      <c r="A91" s="2" t="s">
        <v>474</v>
      </c>
      <c r="B91" s="2" t="n">
        <v>1</v>
      </c>
      <c r="C91" s="7" t="n">
        <v>1.6</v>
      </c>
      <c r="D91" s="7" t="n">
        <v>1.15</v>
      </c>
      <c r="E91" s="16" t="s">
        <v>126</v>
      </c>
      <c r="F91" s="7" t="n">
        <f aca="false">C91*D91</f>
        <v>1.84</v>
      </c>
      <c r="G91" s="2" t="s">
        <v>312</v>
      </c>
      <c r="H91" s="2" t="s">
        <v>351</v>
      </c>
      <c r="I91" s="2" t="s">
        <v>112</v>
      </c>
      <c r="J91" s="16" t="s">
        <v>352</v>
      </c>
    </row>
    <row r="92" customFormat="false" ht="15" hidden="false" customHeight="false" outlineLevel="0" collapsed="false">
      <c r="A92" s="2" t="s">
        <v>475</v>
      </c>
      <c r="B92" s="2" t="n">
        <v>1</v>
      </c>
      <c r="C92" s="7" t="n">
        <v>3</v>
      </c>
      <c r="D92" s="7" t="n">
        <v>2.5</v>
      </c>
      <c r="E92" s="16" t="s">
        <v>126</v>
      </c>
      <c r="F92" s="7" t="n">
        <f aca="false">C92*D92</f>
        <v>7.5</v>
      </c>
      <c r="G92" s="2" t="s">
        <v>183</v>
      </c>
      <c r="H92" s="2"/>
      <c r="I92" s="2" t="s">
        <v>112</v>
      </c>
      <c r="J92" s="16"/>
    </row>
    <row r="93" customFormat="false" ht="23.85" hidden="false" customHeight="false" outlineLevel="0" collapsed="false">
      <c r="A93" s="15" t="s">
        <v>476</v>
      </c>
      <c r="B93" s="15"/>
      <c r="C93" s="15"/>
      <c r="D93" s="15"/>
      <c r="E93" s="15"/>
      <c r="F93" s="15"/>
      <c r="G93" s="15"/>
      <c r="H93" s="15"/>
      <c r="I93" s="15" t="s">
        <v>114</v>
      </c>
      <c r="J93" s="15"/>
    </row>
    <row r="94" customFormat="false" ht="15" hidden="false" customHeight="false" outlineLevel="0" collapsed="false">
      <c r="A94" s="2" t="s">
        <v>477</v>
      </c>
      <c r="B94" s="2" t="n">
        <v>1</v>
      </c>
      <c r="C94" s="7" t="n">
        <v>4</v>
      </c>
      <c r="D94" s="7" t="n">
        <v>0.45</v>
      </c>
      <c r="E94" s="16" t="s">
        <v>126</v>
      </c>
      <c r="F94" s="7" t="n">
        <f aca="false">C94*D94</f>
        <v>1.8</v>
      </c>
      <c r="G94" s="2" t="s">
        <v>254</v>
      </c>
      <c r="H94" s="2"/>
      <c r="I94" s="2" t="s">
        <v>112</v>
      </c>
      <c r="J94" s="16"/>
    </row>
    <row r="95" customFormat="false" ht="15" hidden="false" customHeight="false" outlineLevel="0" collapsed="false">
      <c r="A95" s="2" t="s">
        <v>478</v>
      </c>
      <c r="B95" s="2" t="n">
        <v>1</v>
      </c>
      <c r="C95" s="7" t="n">
        <v>2.4</v>
      </c>
      <c r="D95" s="7" t="n">
        <v>2.2</v>
      </c>
      <c r="E95" s="16" t="s">
        <v>126</v>
      </c>
      <c r="F95" s="7" t="n">
        <f aca="false">C95*D95</f>
        <v>5.28</v>
      </c>
      <c r="G95" s="2" t="s">
        <v>479</v>
      </c>
      <c r="H95" s="2"/>
      <c r="I95" s="2" t="s">
        <v>112</v>
      </c>
      <c r="J95" s="16"/>
    </row>
    <row r="96" customFormat="false" ht="15" hidden="false" customHeight="false" outlineLevel="0" collapsed="false">
      <c r="A96" s="17" t="s">
        <v>480</v>
      </c>
      <c r="B96" s="17" t="n">
        <v>1</v>
      </c>
      <c r="C96" s="18" t="n">
        <v>2.3</v>
      </c>
      <c r="D96" s="18" t="n">
        <v>2.2</v>
      </c>
      <c r="E96" s="19" t="s">
        <v>126</v>
      </c>
      <c r="F96" s="18" t="n">
        <f aca="false">C96*D96</f>
        <v>5.06</v>
      </c>
      <c r="G96" s="17" t="s">
        <v>200</v>
      </c>
      <c r="H96" s="17"/>
      <c r="I96" s="17" t="s">
        <v>112</v>
      </c>
      <c r="J96" s="19"/>
    </row>
    <row r="98" customFormat="false" ht="15" hidden="false" customHeight="false" outlineLevel="0" collapsed="false">
      <c r="A98" s="6" t="s">
        <v>57</v>
      </c>
      <c r="B98" s="6"/>
      <c r="C98" s="12" t="n">
        <v>2.4</v>
      </c>
      <c r="D98" s="12" t="n">
        <v>4.5</v>
      </c>
      <c r="E98" s="6"/>
      <c r="F98" s="12" t="n">
        <f aca="false">C98*D98</f>
        <v>10.8</v>
      </c>
      <c r="G98" s="6"/>
      <c r="H98" s="6" t="str">
        <f aca="false">"Los equipos ocupan "&amp;TEXT(SUM(F99:F100),"0.0")&amp;" m² ("&amp;TEXT(SUM(F99:F100)/F98,"0%")&amp;")"</f>
        <v>Los equipos ocupan 6.3 m² (58%)</v>
      </c>
      <c r="I98" s="6" t="s">
        <v>112</v>
      </c>
      <c r="J98" s="6"/>
    </row>
    <row r="99" customFormat="false" ht="15" hidden="false" customHeight="false" outlineLevel="0" collapsed="false">
      <c r="A99" s="2" t="s">
        <v>481</v>
      </c>
      <c r="B99" s="2" t="n">
        <v>1</v>
      </c>
      <c r="C99" s="7" t="n">
        <v>0.95</v>
      </c>
      <c r="D99" s="7" t="n">
        <v>3.3</v>
      </c>
      <c r="E99" s="16" t="s">
        <v>126</v>
      </c>
      <c r="F99" s="7" t="n">
        <f aca="false">C99*D99</f>
        <v>3.135</v>
      </c>
      <c r="G99" s="2" t="s">
        <v>210</v>
      </c>
      <c r="H99" s="2"/>
      <c r="I99" s="2" t="s">
        <v>112</v>
      </c>
      <c r="J99" s="16"/>
    </row>
    <row r="100" customFormat="false" ht="15" hidden="false" customHeight="false" outlineLevel="0" collapsed="false">
      <c r="A100" s="17" t="s">
        <v>482</v>
      </c>
      <c r="B100" s="17" t="n">
        <v>1</v>
      </c>
      <c r="C100" s="18" t="n">
        <v>0.95</v>
      </c>
      <c r="D100" s="18" t="n">
        <v>3.3</v>
      </c>
      <c r="E100" s="19" t="s">
        <v>126</v>
      </c>
      <c r="F100" s="18" t="n">
        <f aca="false">C100*D100</f>
        <v>3.135</v>
      </c>
      <c r="G100" s="17" t="s">
        <v>483</v>
      </c>
      <c r="H100" s="17"/>
      <c r="I100" s="17" t="s">
        <v>112</v>
      </c>
      <c r="J100" s="19"/>
    </row>
    <row r="102" customFormat="false" ht="15" hidden="false" customHeight="false" outlineLevel="0" collapsed="false">
      <c r="A102" s="6" t="s">
        <v>58</v>
      </c>
      <c r="B102" s="6"/>
      <c r="C102" s="12" t="n">
        <v>9.4</v>
      </c>
      <c r="D102" s="12" t="n">
        <v>1.8</v>
      </c>
      <c r="E102" s="6"/>
      <c r="F102" s="12" t="n">
        <f aca="false">C102*D102</f>
        <v>16.92</v>
      </c>
      <c r="G102" s="6"/>
      <c r="H102" s="6" t="str">
        <f aca="false">"Los equipos ocupan "&amp;TEXT(SUM(F103:F110),"0.0")&amp;" m² ("&amp;TEXT(SUM(F103:F110)/F102,"0%")&amp;")"</f>
        <v>Los equipos ocupan 7.3 m² (43%)</v>
      </c>
      <c r="I102" s="6" t="s">
        <v>112</v>
      </c>
      <c r="J102" s="6"/>
    </row>
    <row r="103" customFormat="false" ht="23.85" hidden="false" customHeight="false" outlineLevel="0" collapsed="false">
      <c r="A103" s="15" t="s">
        <v>476</v>
      </c>
      <c r="B103" s="15"/>
      <c r="C103" s="15"/>
      <c r="D103" s="15"/>
      <c r="E103" s="15"/>
      <c r="F103" s="15"/>
      <c r="G103" s="15"/>
      <c r="H103" s="15"/>
      <c r="I103" s="15" t="s">
        <v>114</v>
      </c>
      <c r="J103" s="15"/>
    </row>
    <row r="104" customFormat="false" ht="15" hidden="false" customHeight="false" outlineLevel="0" collapsed="false">
      <c r="A104" s="2" t="s">
        <v>484</v>
      </c>
      <c r="B104" s="2" t="n">
        <v>1</v>
      </c>
      <c r="C104" s="7" t="n">
        <v>1.1</v>
      </c>
      <c r="D104" s="7" t="n">
        <v>0.6</v>
      </c>
      <c r="E104" s="16" t="s">
        <v>126</v>
      </c>
      <c r="F104" s="7" t="n">
        <f aca="false">C104*D104</f>
        <v>0.66</v>
      </c>
      <c r="G104" s="2" t="s">
        <v>210</v>
      </c>
      <c r="H104" s="2"/>
      <c r="I104" s="2" t="s">
        <v>112</v>
      </c>
      <c r="J104" s="16"/>
    </row>
    <row r="105" customFormat="false" ht="15" hidden="false" customHeight="false" outlineLevel="0" collapsed="false">
      <c r="A105" s="2" t="s">
        <v>485</v>
      </c>
      <c r="B105" s="2" t="n">
        <v>1</v>
      </c>
      <c r="C105" s="7" t="n">
        <v>1</v>
      </c>
      <c r="D105" s="7" t="n">
        <v>0.8</v>
      </c>
      <c r="E105" s="16" t="s">
        <v>126</v>
      </c>
      <c r="F105" s="7" t="n">
        <f aca="false">C105*D105</f>
        <v>0.8</v>
      </c>
      <c r="G105" s="2" t="s">
        <v>210</v>
      </c>
      <c r="H105" s="2"/>
      <c r="I105" s="2" t="s">
        <v>112</v>
      </c>
      <c r="J105" s="16"/>
    </row>
    <row r="106" customFormat="false" ht="15" hidden="false" customHeight="false" outlineLevel="0" collapsed="false">
      <c r="A106" s="2" t="s">
        <v>486</v>
      </c>
      <c r="B106" s="2" t="n">
        <v>1</v>
      </c>
      <c r="C106" s="7" t="n">
        <v>1</v>
      </c>
      <c r="D106" s="7" t="n">
        <v>0.8</v>
      </c>
      <c r="E106" s="16" t="s">
        <v>126</v>
      </c>
      <c r="F106" s="7" t="n">
        <f aca="false">C106*D106</f>
        <v>0.8</v>
      </c>
      <c r="G106" s="2" t="s">
        <v>487</v>
      </c>
      <c r="H106" s="2" t="s">
        <v>164</v>
      </c>
      <c r="I106" s="2" t="s">
        <v>112</v>
      </c>
      <c r="J106" s="16"/>
    </row>
    <row r="107" customFormat="false" ht="15" hidden="false" customHeight="false" outlineLevel="0" collapsed="false">
      <c r="A107" s="2" t="s">
        <v>488</v>
      </c>
      <c r="B107" s="2" t="n">
        <v>1</v>
      </c>
      <c r="C107" s="7" t="n">
        <v>1.45</v>
      </c>
      <c r="D107" s="7" t="n">
        <v>1.35</v>
      </c>
      <c r="E107" s="2" t="s">
        <v>122</v>
      </c>
      <c r="F107" s="7" t="n">
        <f aca="false">C107*D107</f>
        <v>1.9575</v>
      </c>
      <c r="G107" s="2" t="s">
        <v>216</v>
      </c>
      <c r="H107" s="2"/>
      <c r="I107" s="2" t="s">
        <v>112</v>
      </c>
      <c r="J107" s="16"/>
    </row>
    <row r="108" customFormat="false" ht="23.85" hidden="false" customHeight="false" outlineLevel="0" collapsed="false">
      <c r="A108" s="15" t="s">
        <v>489</v>
      </c>
      <c r="B108" s="15"/>
      <c r="C108" s="15"/>
      <c r="D108" s="15"/>
      <c r="E108" s="15"/>
      <c r="F108" s="15"/>
      <c r="G108" s="15"/>
      <c r="H108" s="15"/>
      <c r="I108" s="15" t="s">
        <v>114</v>
      </c>
      <c r="J108" s="15"/>
    </row>
    <row r="109" customFormat="false" ht="15" hidden="false" customHeight="false" outlineLevel="0" collapsed="false">
      <c r="A109" s="2" t="s">
        <v>490</v>
      </c>
      <c r="B109" s="2" t="n">
        <v>1</v>
      </c>
      <c r="C109" s="7" t="n">
        <v>2.6</v>
      </c>
      <c r="D109" s="7" t="n">
        <v>0.55</v>
      </c>
      <c r="E109" s="16" t="s">
        <v>126</v>
      </c>
      <c r="F109" s="7" t="n">
        <f aca="false">C109*D109</f>
        <v>1.43</v>
      </c>
      <c r="G109" s="2" t="s">
        <v>213</v>
      </c>
      <c r="H109" s="2"/>
      <c r="I109" s="2" t="s">
        <v>112</v>
      </c>
      <c r="J109" s="16"/>
    </row>
    <row r="110" customFormat="false" ht="15" hidden="false" customHeight="false" outlineLevel="0" collapsed="false">
      <c r="A110" s="17" t="s">
        <v>423</v>
      </c>
      <c r="B110" s="17" t="n">
        <v>1</v>
      </c>
      <c r="C110" s="18" t="n">
        <v>2.6</v>
      </c>
      <c r="D110" s="18" t="n">
        <v>0.65</v>
      </c>
      <c r="E110" s="19" t="s">
        <v>126</v>
      </c>
      <c r="F110" s="18" t="n">
        <f aca="false">C110*D110</f>
        <v>1.69</v>
      </c>
      <c r="G110" s="17" t="s">
        <v>213</v>
      </c>
      <c r="H110" s="17"/>
      <c r="I110" s="17" t="s">
        <v>112</v>
      </c>
      <c r="J110" s="19"/>
    </row>
    <row r="112" customFormat="false" ht="23.85" hidden="false" customHeight="false" outlineLevel="0" collapsed="false">
      <c r="A112" s="6" t="s">
        <v>59</v>
      </c>
      <c r="B112" s="6"/>
      <c r="C112" s="12" t="n">
        <v>6.5</v>
      </c>
      <c r="D112" s="12" t="n">
        <v>4.5</v>
      </c>
      <c r="E112" s="6"/>
      <c r="F112" s="12" t="n">
        <f aca="false">C112*D112</f>
        <v>29.25</v>
      </c>
      <c r="G112" s="6"/>
      <c r="H112" s="6" t="str">
        <f aca="false">"Los equipos ocupan "&amp;TEXT(SUM(F113:F118),"0.0")&amp;" m² ("&amp;TEXT(SUM(F113:F118)/F112,"0%")&amp;")"</f>
        <v>Los equipos ocupan 11.5 m² (39%)</v>
      </c>
      <c r="I112" s="6" t="s">
        <v>112</v>
      </c>
      <c r="J112" s="6"/>
    </row>
    <row r="113" customFormat="false" ht="15" hidden="false" customHeight="false" outlineLevel="0" collapsed="false">
      <c r="A113" s="2" t="s">
        <v>491</v>
      </c>
      <c r="B113" s="2" t="n">
        <v>1</v>
      </c>
      <c r="C113" s="7" t="n">
        <v>2</v>
      </c>
      <c r="D113" s="7" t="n">
        <v>0.8</v>
      </c>
      <c r="E113" s="16" t="s">
        <v>126</v>
      </c>
      <c r="F113" s="7" t="n">
        <f aca="false">C113*D113</f>
        <v>1.6</v>
      </c>
      <c r="G113" s="2" t="s">
        <v>312</v>
      </c>
      <c r="H113" s="2"/>
      <c r="I113" s="2" t="s">
        <v>112</v>
      </c>
      <c r="J113" s="16"/>
    </row>
    <row r="114" customFormat="false" ht="15" hidden="false" customHeight="false" outlineLevel="0" collapsed="false">
      <c r="A114" s="2" t="s">
        <v>355</v>
      </c>
      <c r="B114" s="2" t="n">
        <v>1</v>
      </c>
      <c r="C114" s="7" t="n">
        <v>1.2</v>
      </c>
      <c r="D114" s="7" t="n">
        <v>1.2</v>
      </c>
      <c r="E114" s="16" t="s">
        <v>126</v>
      </c>
      <c r="F114" s="7" t="n">
        <f aca="false">C114*D114</f>
        <v>1.44</v>
      </c>
      <c r="G114" s="2" t="s">
        <v>216</v>
      </c>
      <c r="H114" s="2"/>
      <c r="I114" s="2" t="s">
        <v>112</v>
      </c>
      <c r="J114" s="16"/>
    </row>
    <row r="115" customFormat="false" ht="15" hidden="false" customHeight="false" outlineLevel="0" collapsed="false">
      <c r="A115" s="2" t="s">
        <v>492</v>
      </c>
      <c r="B115" s="2" t="n">
        <v>1</v>
      </c>
      <c r="C115" s="7" t="n">
        <v>2</v>
      </c>
      <c r="D115" s="7" t="n">
        <v>0.5</v>
      </c>
      <c r="E115" s="16" t="s">
        <v>126</v>
      </c>
      <c r="F115" s="7" t="n">
        <f aca="false">C115*D115</f>
        <v>1</v>
      </c>
      <c r="G115" s="2" t="s">
        <v>210</v>
      </c>
      <c r="H115" s="2"/>
      <c r="I115" s="2" t="s">
        <v>112</v>
      </c>
      <c r="J115" s="16"/>
    </row>
    <row r="116" customFormat="false" ht="23.85" hidden="false" customHeight="false" outlineLevel="0" collapsed="false">
      <c r="A116" s="2" t="s">
        <v>493</v>
      </c>
      <c r="B116" s="2" t="n">
        <v>5</v>
      </c>
      <c r="C116" s="7" t="n">
        <v>2.3</v>
      </c>
      <c r="D116" s="7" t="n">
        <v>1.7</v>
      </c>
      <c r="E116" s="16" t="s">
        <v>126</v>
      </c>
      <c r="F116" s="7" t="n">
        <f aca="false">C116*D116</f>
        <v>3.91</v>
      </c>
      <c r="G116" s="2" t="s">
        <v>183</v>
      </c>
      <c r="H116" s="2" t="s">
        <v>494</v>
      </c>
      <c r="I116" s="2" t="s">
        <v>112</v>
      </c>
      <c r="J116" s="16"/>
    </row>
    <row r="117" customFormat="false" ht="15" hidden="false" customHeight="false" outlineLevel="0" collapsed="false">
      <c r="A117" s="2" t="s">
        <v>495</v>
      </c>
      <c r="B117" s="2" t="n">
        <v>1</v>
      </c>
      <c r="C117" s="7" t="n">
        <v>1.75</v>
      </c>
      <c r="D117" s="7" t="n">
        <v>2.05</v>
      </c>
      <c r="E117" s="16" t="s">
        <v>126</v>
      </c>
      <c r="F117" s="7" t="n">
        <f aca="false">C117*D117</f>
        <v>3.5875</v>
      </c>
      <c r="G117" s="2" t="s">
        <v>200</v>
      </c>
      <c r="H117" s="2" t="s">
        <v>496</v>
      </c>
      <c r="I117" s="2" t="s">
        <v>112</v>
      </c>
      <c r="J117" s="16"/>
    </row>
    <row r="118" customFormat="false" ht="23.85" hidden="false" customHeight="false" outlineLevel="0" collapsed="false">
      <c r="A118" s="17" t="s">
        <v>497</v>
      </c>
      <c r="B118" s="17"/>
      <c r="C118" s="18"/>
      <c r="D118" s="18"/>
      <c r="E118" s="19" t="s">
        <v>126</v>
      </c>
      <c r="F118" s="20"/>
      <c r="G118" s="17"/>
      <c r="H118" s="17" t="s">
        <v>498</v>
      </c>
      <c r="I118" s="17" t="s">
        <v>499</v>
      </c>
      <c r="J118" s="19" t="s">
        <v>500</v>
      </c>
    </row>
    <row r="120" customFormat="false" ht="23.85" hidden="false" customHeight="false" outlineLevel="0" collapsed="false">
      <c r="A120" s="6" t="s">
        <v>60</v>
      </c>
      <c r="B120" s="6"/>
      <c r="C120" s="12" t="n">
        <v>3.9</v>
      </c>
      <c r="D120" s="12" t="n">
        <v>5</v>
      </c>
      <c r="E120" s="6"/>
      <c r="F120" s="12" t="n">
        <f aca="false">C120*D120</f>
        <v>19.5</v>
      </c>
      <c r="G120" s="6"/>
      <c r="H120" s="6" t="str">
        <f aca="false">"Los equipos ocupan "&amp;TEXT(SUM(F121:F123),"0.0")&amp;" m² ("&amp;TEXT(SUM(F121:F123)/F120,"0%")&amp;")"</f>
        <v>Los equipos ocupan 4.1 m² (21%)</v>
      </c>
      <c r="I120" s="6" t="s">
        <v>112</v>
      </c>
      <c r="J120" s="6"/>
    </row>
    <row r="121" customFormat="false" ht="15" hidden="false" customHeight="false" outlineLevel="0" collapsed="false">
      <c r="A121" s="2" t="s">
        <v>501</v>
      </c>
      <c r="B121" s="2" t="n">
        <v>1</v>
      </c>
      <c r="C121" s="7" t="n">
        <v>1.7</v>
      </c>
      <c r="D121" s="7" t="n">
        <v>0.6</v>
      </c>
      <c r="E121" s="16" t="s">
        <v>126</v>
      </c>
      <c r="F121" s="7" t="n">
        <f aca="false">C121*D121</f>
        <v>1.02</v>
      </c>
      <c r="G121" s="2" t="s">
        <v>262</v>
      </c>
      <c r="H121" s="2"/>
      <c r="I121" s="2" t="s">
        <v>112</v>
      </c>
      <c r="J121" s="16"/>
    </row>
    <row r="122" customFormat="false" ht="15" hidden="false" customHeight="false" outlineLevel="0" collapsed="false">
      <c r="A122" s="2" t="s">
        <v>502</v>
      </c>
      <c r="B122" s="2" t="n">
        <v>1</v>
      </c>
      <c r="C122" s="7" t="n">
        <v>2.3</v>
      </c>
      <c r="D122" s="7" t="n">
        <v>0.8</v>
      </c>
      <c r="E122" s="16" t="s">
        <v>126</v>
      </c>
      <c r="F122" s="7" t="n">
        <f aca="false">C122*D122</f>
        <v>1.84</v>
      </c>
      <c r="G122" s="2" t="s">
        <v>299</v>
      </c>
      <c r="H122" s="2"/>
      <c r="I122" s="2" t="s">
        <v>112</v>
      </c>
      <c r="J122" s="16"/>
    </row>
    <row r="123" customFormat="false" ht="15" hidden="false" customHeight="false" outlineLevel="0" collapsed="false">
      <c r="A123" s="17" t="s">
        <v>503</v>
      </c>
      <c r="B123" s="17" t="n">
        <v>1</v>
      </c>
      <c r="C123" s="18" t="n">
        <v>0.6</v>
      </c>
      <c r="D123" s="18" t="n">
        <v>2.1</v>
      </c>
      <c r="E123" s="19" t="s">
        <v>126</v>
      </c>
      <c r="F123" s="18" t="n">
        <f aca="false">C123*D123</f>
        <v>1.26</v>
      </c>
      <c r="G123" s="17" t="s">
        <v>172</v>
      </c>
      <c r="H123" s="17"/>
      <c r="I123" s="17" t="s">
        <v>112</v>
      </c>
      <c r="J123" s="1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 min="2" style="0" width="6"/>
    <col collapsed="false" customWidth="true" hidden="false" outlineLevel="0" max="5" min="3" style="0" width="9"/>
    <col collapsed="false" customWidth="true" hidden="false" outlineLevel="0" max="6" min="6" style="0" width="10"/>
    <col collapsed="false" customWidth="true" hidden="false" outlineLevel="0" max="7" min="7" style="0" width="22"/>
    <col collapsed="false" customWidth="true" hidden="false" outlineLevel="0" max="8" min="8" style="0" width="40"/>
    <col collapsed="false" customWidth="true" hidden="false" outlineLevel="0" max="9" min="9" style="0" width="16"/>
    <col collapsed="false" customWidth="true" hidden="false" outlineLevel="0" max="10" min="10" style="0" width="40"/>
  </cols>
  <sheetData>
    <row r="1" customFormat="false" ht="16.15" hidden="false" customHeight="false" outlineLevel="0" collapsed="false">
      <c r="A1" s="4" t="s">
        <v>504</v>
      </c>
    </row>
    <row r="2" customFormat="false" ht="15" hidden="false" customHeight="false" outlineLevel="0" collapsed="false">
      <c r="A2" s="14" t="s">
        <v>103</v>
      </c>
    </row>
    <row r="4" customFormat="false" ht="15" hidden="false" customHeight="false" outlineLevel="0" collapsed="false">
      <c r="A4" s="5" t="s">
        <v>104</v>
      </c>
      <c r="B4" s="5" t="s">
        <v>106</v>
      </c>
      <c r="C4" s="5" t="s">
        <v>17</v>
      </c>
      <c r="D4" s="5" t="s">
        <v>18</v>
      </c>
      <c r="E4" s="5" t="s">
        <v>107</v>
      </c>
      <c r="F4" s="5" t="s">
        <v>108</v>
      </c>
      <c r="G4" s="5" t="s">
        <v>109</v>
      </c>
      <c r="H4" s="5" t="s">
        <v>110</v>
      </c>
      <c r="I4" s="5" t="s">
        <v>11</v>
      </c>
      <c r="J4" s="5" t="s">
        <v>111</v>
      </c>
    </row>
    <row r="5" customFormat="false" ht="15" hidden="false" customHeight="false" outlineLevel="0" collapsed="false">
      <c r="A5" s="6" t="s">
        <v>63</v>
      </c>
      <c r="B5" s="6"/>
      <c r="C5" s="12" t="n">
        <v>3.2</v>
      </c>
      <c r="D5" s="12" t="n">
        <v>1.8</v>
      </c>
      <c r="E5" s="6"/>
      <c r="F5" s="12" t="n">
        <f aca="false">C5*D5</f>
        <v>5.76</v>
      </c>
      <c r="G5" s="6"/>
      <c r="H5" s="6" t="str">
        <f aca="false">"Los equipos ocupan "&amp;TEXT(SUM(F6:F8),"0.0")&amp;" m² ("&amp;TEXT(SUM(F6:F8)/F5,"0%")&amp;")"</f>
        <v>Los equipos ocupan 1.5 m² (26%)</v>
      </c>
      <c r="I5" s="6" t="s">
        <v>112</v>
      </c>
      <c r="J5" s="6"/>
    </row>
    <row r="6" customFormat="false" ht="23.85" hidden="false" customHeight="false" outlineLevel="0" collapsed="false">
      <c r="A6" s="2" t="s">
        <v>505</v>
      </c>
      <c r="B6" s="2" t="n">
        <v>1</v>
      </c>
      <c r="C6" s="7" t="n">
        <v>1.05</v>
      </c>
      <c r="D6" s="7" t="n">
        <v>0.75</v>
      </c>
      <c r="E6" s="16" t="s">
        <v>126</v>
      </c>
      <c r="F6" s="7" t="n">
        <f aca="false">C6*D6</f>
        <v>0.7875</v>
      </c>
      <c r="G6" s="2" t="s">
        <v>210</v>
      </c>
      <c r="H6" s="2" t="s">
        <v>506</v>
      </c>
      <c r="I6" s="2" t="s">
        <v>112</v>
      </c>
      <c r="J6" s="16" t="s">
        <v>507</v>
      </c>
    </row>
    <row r="7" customFormat="false" ht="15" hidden="false" customHeight="false" outlineLevel="0" collapsed="false">
      <c r="A7" s="2" t="s">
        <v>508</v>
      </c>
      <c r="B7" s="2" t="n">
        <v>1</v>
      </c>
      <c r="C7" s="7" t="n">
        <v>0.7</v>
      </c>
      <c r="D7" s="7" t="n">
        <v>0.5</v>
      </c>
      <c r="E7" s="16" t="s">
        <v>126</v>
      </c>
      <c r="F7" s="7" t="n">
        <f aca="false">C7*D7</f>
        <v>0.35</v>
      </c>
      <c r="G7" s="2" t="s">
        <v>213</v>
      </c>
      <c r="H7" s="2" t="s">
        <v>509</v>
      </c>
      <c r="I7" s="2" t="s">
        <v>112</v>
      </c>
      <c r="J7" s="16"/>
    </row>
    <row r="8" customFormat="false" ht="15" hidden="false" customHeight="false" outlineLevel="0" collapsed="false">
      <c r="A8" s="17" t="s">
        <v>510</v>
      </c>
      <c r="B8" s="17" t="n">
        <v>1</v>
      </c>
      <c r="C8" s="18" t="n">
        <v>0.7</v>
      </c>
      <c r="D8" s="18" t="n">
        <v>0.5</v>
      </c>
      <c r="E8" s="19" t="s">
        <v>126</v>
      </c>
      <c r="F8" s="18" t="n">
        <f aca="false">C8*D8</f>
        <v>0.35</v>
      </c>
      <c r="G8" s="17" t="s">
        <v>213</v>
      </c>
      <c r="H8" s="17"/>
      <c r="I8" s="17" t="s">
        <v>112</v>
      </c>
      <c r="J8" s="19"/>
    </row>
    <row r="10" customFormat="false" ht="15" hidden="false" customHeight="false" outlineLevel="0" collapsed="false">
      <c r="A10" s="6" t="s">
        <v>64</v>
      </c>
      <c r="B10" s="6"/>
      <c r="C10" s="12" t="n">
        <v>3.2</v>
      </c>
      <c r="D10" s="12" t="n">
        <v>1.7</v>
      </c>
      <c r="E10" s="6"/>
      <c r="F10" s="12" t="n">
        <f aca="false">C10*D10</f>
        <v>5.44</v>
      </c>
      <c r="G10" s="6"/>
      <c r="H10" s="6" t="str">
        <f aca="false">"Los equipos ocupan "&amp;TEXT(SUM(F11:F15),"0.0")&amp;" m² ("&amp;TEXT(SUM(F11:F15)/F10,"0%")&amp;")"</f>
        <v>Los equipos ocupan 1.3 m² (25%)</v>
      </c>
      <c r="I10" s="6" t="s">
        <v>112</v>
      </c>
      <c r="J10" s="6"/>
    </row>
    <row r="11" customFormat="false" ht="15" hidden="false" customHeight="false" outlineLevel="0" collapsed="false">
      <c r="A11" s="2" t="s">
        <v>511</v>
      </c>
      <c r="B11" s="2" t="n">
        <v>1</v>
      </c>
      <c r="C11" s="7" t="n">
        <v>0.8</v>
      </c>
      <c r="D11" s="7" t="n">
        <v>0.6</v>
      </c>
      <c r="E11" s="16" t="s">
        <v>126</v>
      </c>
      <c r="F11" s="7" t="n">
        <f aca="false">C11*D11</f>
        <v>0.48</v>
      </c>
      <c r="G11" s="2" t="s">
        <v>213</v>
      </c>
      <c r="H11" s="2"/>
      <c r="I11" s="2" t="s">
        <v>112</v>
      </c>
      <c r="J11" s="16"/>
    </row>
    <row r="12" customFormat="false" ht="15" hidden="false" customHeight="false" outlineLevel="0" collapsed="false">
      <c r="A12" s="2" t="s">
        <v>512</v>
      </c>
      <c r="B12" s="2" t="n">
        <v>1</v>
      </c>
      <c r="C12" s="7" t="n">
        <v>0.8</v>
      </c>
      <c r="D12" s="7" t="n">
        <v>0.55</v>
      </c>
      <c r="E12" s="16" t="s">
        <v>126</v>
      </c>
      <c r="F12" s="7" t="n">
        <f aca="false">C12*D12</f>
        <v>0.44</v>
      </c>
      <c r="G12" s="2" t="s">
        <v>213</v>
      </c>
      <c r="H12" s="2"/>
      <c r="I12" s="2" t="s">
        <v>112</v>
      </c>
      <c r="J12" s="16"/>
    </row>
    <row r="13" customFormat="false" ht="15" hidden="false" customHeight="false" outlineLevel="0" collapsed="false">
      <c r="A13" s="2" t="s">
        <v>513</v>
      </c>
      <c r="B13" s="2" t="n">
        <v>1</v>
      </c>
      <c r="C13" s="7" t="n">
        <v>0.4</v>
      </c>
      <c r="D13" s="7" t="n">
        <v>0.35</v>
      </c>
      <c r="E13" s="16" t="s">
        <v>126</v>
      </c>
      <c r="F13" s="7" t="n">
        <f aca="false">C13*D13</f>
        <v>0.14</v>
      </c>
      <c r="G13" s="2" t="s">
        <v>210</v>
      </c>
      <c r="H13" s="2"/>
      <c r="I13" s="2" t="s">
        <v>112</v>
      </c>
      <c r="J13" s="16"/>
    </row>
    <row r="14" customFormat="false" ht="15" hidden="false" customHeight="false" outlineLevel="0" collapsed="false">
      <c r="A14" s="2" t="s">
        <v>514</v>
      </c>
      <c r="B14" s="2" t="n">
        <v>1</v>
      </c>
      <c r="C14" s="7" t="n">
        <v>0.4</v>
      </c>
      <c r="D14" s="7" t="n">
        <v>0.35</v>
      </c>
      <c r="E14" s="16" t="s">
        <v>126</v>
      </c>
      <c r="F14" s="7" t="n">
        <f aca="false">C14*D14</f>
        <v>0.14</v>
      </c>
      <c r="G14" s="2" t="s">
        <v>210</v>
      </c>
      <c r="H14" s="2"/>
      <c r="I14" s="2" t="s">
        <v>112</v>
      </c>
      <c r="J14" s="16"/>
    </row>
    <row r="15" customFormat="false" ht="15" hidden="false" customHeight="false" outlineLevel="0" collapsed="false">
      <c r="A15" s="17" t="s">
        <v>515</v>
      </c>
      <c r="B15" s="17" t="n">
        <v>1</v>
      </c>
      <c r="C15" s="18" t="n">
        <v>0.4</v>
      </c>
      <c r="D15" s="18" t="n">
        <v>0.35</v>
      </c>
      <c r="E15" s="19" t="s">
        <v>126</v>
      </c>
      <c r="F15" s="18" t="n">
        <f aca="false">C15*D15</f>
        <v>0.14</v>
      </c>
      <c r="G15" s="17" t="s">
        <v>210</v>
      </c>
      <c r="H15" s="17"/>
      <c r="I15" s="17" t="s">
        <v>112</v>
      </c>
      <c r="J15" s="19"/>
    </row>
    <row r="17" customFormat="false" ht="15" hidden="false" customHeight="false" outlineLevel="0" collapsed="false">
      <c r="A17" s="6" t="s">
        <v>65</v>
      </c>
      <c r="B17" s="6"/>
      <c r="C17" s="12" t="n">
        <v>2</v>
      </c>
      <c r="D17" s="12" t="n">
        <v>2.9</v>
      </c>
      <c r="E17" s="6"/>
      <c r="F17" s="12" t="n">
        <f aca="false">C17*D17</f>
        <v>5.8</v>
      </c>
      <c r="G17" s="6"/>
      <c r="H17" s="6" t="str">
        <f aca="false">"Los equipos ocupan "&amp;TEXT(SUM(F18:F18),"0.0")&amp;" m² ("&amp;TEXT(SUM(F18:F18)/F17,"0%")&amp;")"</f>
        <v>Los equipos ocupan 1.2 m² (21%)</v>
      </c>
      <c r="I17" s="6" t="s">
        <v>112</v>
      </c>
      <c r="J17" s="6"/>
    </row>
    <row r="18" customFormat="false" ht="15" hidden="false" customHeight="false" outlineLevel="0" collapsed="false">
      <c r="A18" s="17" t="s">
        <v>516</v>
      </c>
      <c r="B18" s="17" t="n">
        <v>1</v>
      </c>
      <c r="C18" s="18" t="n">
        <v>1.15</v>
      </c>
      <c r="D18" s="18" t="n">
        <v>1.05</v>
      </c>
      <c r="E18" s="19" t="s">
        <v>126</v>
      </c>
      <c r="F18" s="18" t="n">
        <f aca="false">C18*D18</f>
        <v>1.2075</v>
      </c>
      <c r="G18" s="17" t="s">
        <v>210</v>
      </c>
      <c r="H18" s="17"/>
      <c r="I18" s="17" t="s">
        <v>112</v>
      </c>
      <c r="J18" s="19"/>
    </row>
    <row r="20" customFormat="false" ht="15" hidden="false" customHeight="false" outlineLevel="0" collapsed="false">
      <c r="A20" s="6" t="s">
        <v>66</v>
      </c>
      <c r="B20" s="6"/>
      <c r="C20" s="12" t="n">
        <v>2</v>
      </c>
      <c r="D20" s="12" t="n">
        <v>2</v>
      </c>
      <c r="E20" s="6"/>
      <c r="F20" s="12" t="n">
        <f aca="false">C20*D20</f>
        <v>4</v>
      </c>
      <c r="G20" s="6"/>
      <c r="H20" s="6" t="str">
        <f aca="false">"Los equipos ocupan "&amp;TEXT(SUM(F21:F22),"0.0")&amp;" m² ("&amp;TEXT(SUM(F21:F22)/F20,"0%")&amp;")"</f>
        <v>Los equipos ocupan 0.7 m² (18%)</v>
      </c>
      <c r="I20" s="6" t="s">
        <v>112</v>
      </c>
      <c r="J20" s="6"/>
    </row>
    <row r="21" customFormat="false" ht="15" hidden="false" customHeight="false" outlineLevel="0" collapsed="false">
      <c r="A21" s="2" t="s">
        <v>517</v>
      </c>
      <c r="B21" s="2" t="n">
        <v>1</v>
      </c>
      <c r="C21" s="7" t="n">
        <v>0.6</v>
      </c>
      <c r="D21" s="7" t="n">
        <v>0.6</v>
      </c>
      <c r="E21" s="16" t="s">
        <v>126</v>
      </c>
      <c r="F21" s="7" t="n">
        <f aca="false">C21*D21</f>
        <v>0.36</v>
      </c>
      <c r="G21" s="2" t="s">
        <v>183</v>
      </c>
      <c r="H21" s="2" t="s">
        <v>518</v>
      </c>
      <c r="I21" s="2" t="s">
        <v>112</v>
      </c>
      <c r="J21" s="16"/>
    </row>
    <row r="22" customFormat="false" ht="15" hidden="false" customHeight="false" outlineLevel="0" collapsed="false">
      <c r="A22" s="17" t="s">
        <v>519</v>
      </c>
      <c r="B22" s="17" t="n">
        <v>1</v>
      </c>
      <c r="C22" s="18" t="n">
        <v>0.6</v>
      </c>
      <c r="D22" s="18" t="n">
        <v>0.6</v>
      </c>
      <c r="E22" s="19" t="s">
        <v>126</v>
      </c>
      <c r="F22" s="18" t="n">
        <f aca="false">C22*D22</f>
        <v>0.36</v>
      </c>
      <c r="G22" s="17" t="s">
        <v>200</v>
      </c>
      <c r="H22" s="17" t="s">
        <v>518</v>
      </c>
      <c r="I22" s="17" t="s">
        <v>112</v>
      </c>
      <c r="J22" s="19"/>
    </row>
    <row r="24" customFormat="false" ht="15" hidden="false" customHeight="false" outlineLevel="0" collapsed="false">
      <c r="A24" s="6" t="s">
        <v>67</v>
      </c>
      <c r="B24" s="6"/>
      <c r="C24" s="12" t="n">
        <v>2</v>
      </c>
      <c r="D24" s="12" t="n">
        <v>1.95</v>
      </c>
      <c r="E24" s="6"/>
      <c r="F24" s="12" t="n">
        <f aca="false">C24*D24</f>
        <v>3.9</v>
      </c>
      <c r="G24" s="6"/>
      <c r="H24" s="6" t="str">
        <f aca="false">"Los equipos ocupan "&amp;TEXT(SUM(F25:F25),"0.0")&amp;" m² ("&amp;TEXT(SUM(F25:F25)/F24,"0%")&amp;")"</f>
        <v>Los equipos ocupan 1.5 m² (39%)</v>
      </c>
      <c r="I24" s="6" t="s">
        <v>112</v>
      </c>
      <c r="J24" s="6"/>
    </row>
    <row r="25" customFormat="false" ht="15" hidden="false" customHeight="false" outlineLevel="0" collapsed="false">
      <c r="A25" s="17" t="s">
        <v>520</v>
      </c>
      <c r="B25" s="17" t="n">
        <v>1</v>
      </c>
      <c r="C25" s="18" t="n">
        <v>1.4</v>
      </c>
      <c r="D25" s="18" t="n">
        <v>1.1</v>
      </c>
      <c r="E25" s="19" t="s">
        <v>126</v>
      </c>
      <c r="F25" s="18" t="n">
        <f aca="false">C25*D25</f>
        <v>1.54</v>
      </c>
      <c r="G25" s="17" t="s">
        <v>210</v>
      </c>
      <c r="H25" s="17" t="s">
        <v>521</v>
      </c>
      <c r="I25" s="17" t="s">
        <v>112</v>
      </c>
      <c r="J25" s="19"/>
    </row>
    <row r="27" customFormat="false" ht="15" hidden="false" customHeight="false" outlineLevel="0" collapsed="false">
      <c r="A27" s="6" t="s">
        <v>68</v>
      </c>
      <c r="B27" s="6"/>
      <c r="C27" s="12" t="n">
        <v>3.2</v>
      </c>
      <c r="D27" s="12" t="n">
        <v>3.7</v>
      </c>
      <c r="E27" s="6"/>
      <c r="F27" s="12" t="n">
        <f aca="false">C27*D27</f>
        <v>11.84</v>
      </c>
      <c r="G27" s="6"/>
      <c r="H27" s="6" t="str">
        <f aca="false">"Los equipos ocupan "&amp;TEXT(SUM(F28:F36),"0.0")&amp;" m² ("&amp;TEXT(SUM(F28:F36)/F27,"0%")&amp;")"</f>
        <v>Los equipos ocupan 4.3 m² (36%)</v>
      </c>
      <c r="I27" s="6" t="s">
        <v>112</v>
      </c>
      <c r="J27" s="6"/>
    </row>
    <row r="28" customFormat="false" ht="15" hidden="false" customHeight="false" outlineLevel="0" collapsed="false">
      <c r="A28" s="2" t="s">
        <v>522</v>
      </c>
      <c r="B28" s="2" t="n">
        <v>1</v>
      </c>
      <c r="C28" s="7" t="n">
        <v>1.05</v>
      </c>
      <c r="D28" s="7" t="n">
        <v>1</v>
      </c>
      <c r="E28" s="16" t="s">
        <v>126</v>
      </c>
      <c r="F28" s="7" t="n">
        <f aca="false">C28*D28</f>
        <v>1.05</v>
      </c>
      <c r="G28" s="2" t="s">
        <v>163</v>
      </c>
      <c r="H28" s="2" t="s">
        <v>523</v>
      </c>
      <c r="I28" s="2" t="s">
        <v>112</v>
      </c>
      <c r="J28" s="16"/>
    </row>
    <row r="29" customFormat="false" ht="15" hidden="false" customHeight="false" outlineLevel="0" collapsed="false">
      <c r="A29" s="2" t="s">
        <v>524</v>
      </c>
      <c r="B29" s="2" t="n">
        <v>1</v>
      </c>
      <c r="C29" s="7" t="n">
        <v>1.05</v>
      </c>
      <c r="D29" s="7" t="n">
        <v>1</v>
      </c>
      <c r="E29" s="16" t="s">
        <v>126</v>
      </c>
      <c r="F29" s="7" t="n">
        <f aca="false">C29*D29</f>
        <v>1.05</v>
      </c>
      <c r="G29" s="2" t="s">
        <v>213</v>
      </c>
      <c r="H29" s="2" t="s">
        <v>523</v>
      </c>
      <c r="I29" s="2" t="s">
        <v>112</v>
      </c>
      <c r="J29" s="16"/>
    </row>
    <row r="30" customFormat="false" ht="15" hidden="false" customHeight="false" outlineLevel="0" collapsed="false">
      <c r="A30" s="2" t="s">
        <v>525</v>
      </c>
      <c r="B30" s="2" t="n">
        <v>1</v>
      </c>
      <c r="C30" s="7" t="n">
        <v>0.7</v>
      </c>
      <c r="D30" s="7" t="n">
        <v>0.7</v>
      </c>
      <c r="E30" s="16" t="s">
        <v>126</v>
      </c>
      <c r="F30" s="7" t="n">
        <f aca="false">C30*D30</f>
        <v>0.49</v>
      </c>
      <c r="G30" s="2" t="s">
        <v>216</v>
      </c>
      <c r="H30" s="2" t="s">
        <v>526</v>
      </c>
      <c r="I30" s="2" t="s">
        <v>112</v>
      </c>
      <c r="J30" s="16" t="s">
        <v>527</v>
      </c>
    </row>
    <row r="31" customFormat="false" ht="15" hidden="false" customHeight="false" outlineLevel="0" collapsed="false">
      <c r="A31" s="2" t="s">
        <v>528</v>
      </c>
      <c r="B31" s="2" t="n">
        <v>1</v>
      </c>
      <c r="C31" s="7" t="n">
        <v>0.56</v>
      </c>
      <c r="D31" s="7" t="n">
        <v>0.56</v>
      </c>
      <c r="E31" s="16" t="s">
        <v>126</v>
      </c>
      <c r="F31" s="7" t="n">
        <f aca="false">C31*D31</f>
        <v>0.3136</v>
      </c>
      <c r="G31" s="2" t="s">
        <v>299</v>
      </c>
      <c r="H31" s="2" t="s">
        <v>529</v>
      </c>
      <c r="I31" s="2" t="s">
        <v>112</v>
      </c>
      <c r="J31" s="16" t="s">
        <v>527</v>
      </c>
    </row>
    <row r="32" customFormat="false" ht="15" hidden="false" customHeight="false" outlineLevel="0" collapsed="false">
      <c r="A32" s="2" t="s">
        <v>530</v>
      </c>
      <c r="B32" s="2" t="n">
        <v>1</v>
      </c>
      <c r="C32" s="7" t="n">
        <v>0.8</v>
      </c>
      <c r="D32" s="7" t="n">
        <v>0.8</v>
      </c>
      <c r="E32" s="16" t="s">
        <v>126</v>
      </c>
      <c r="F32" s="7" t="n">
        <f aca="false">C32*D32</f>
        <v>0.64</v>
      </c>
      <c r="G32" s="2" t="s">
        <v>200</v>
      </c>
      <c r="H32" s="2" t="s">
        <v>531</v>
      </c>
      <c r="I32" s="2" t="s">
        <v>112</v>
      </c>
      <c r="J32" s="16"/>
    </row>
    <row r="33" customFormat="false" ht="15" hidden="false" customHeight="false" outlineLevel="0" collapsed="false">
      <c r="A33" s="2" t="s">
        <v>532</v>
      </c>
      <c r="B33" s="2" t="n">
        <v>1</v>
      </c>
      <c r="C33" s="7" t="n">
        <v>0.5</v>
      </c>
      <c r="D33" s="7" t="n">
        <v>0.35</v>
      </c>
      <c r="E33" s="16" t="s">
        <v>126</v>
      </c>
      <c r="F33" s="7" t="n">
        <f aca="false">C33*D33</f>
        <v>0.175</v>
      </c>
      <c r="G33" s="2" t="s">
        <v>210</v>
      </c>
      <c r="H33" s="2"/>
      <c r="I33" s="2" t="s">
        <v>112</v>
      </c>
      <c r="J33" s="16"/>
    </row>
    <row r="34" customFormat="false" ht="15" hidden="false" customHeight="false" outlineLevel="0" collapsed="false">
      <c r="A34" s="2" t="s">
        <v>355</v>
      </c>
      <c r="B34" s="2" t="n">
        <v>1</v>
      </c>
      <c r="C34" s="7" t="n">
        <v>0.4</v>
      </c>
      <c r="D34" s="7" t="n">
        <v>0.35</v>
      </c>
      <c r="E34" s="16" t="s">
        <v>126</v>
      </c>
      <c r="F34" s="7" t="n">
        <f aca="false">C34*D34</f>
        <v>0.14</v>
      </c>
      <c r="G34" s="2" t="s">
        <v>210</v>
      </c>
      <c r="H34" s="2"/>
      <c r="I34" s="2" t="s">
        <v>112</v>
      </c>
      <c r="J34" s="16"/>
    </row>
    <row r="35" customFormat="false" ht="15" hidden="false" customHeight="false" outlineLevel="0" collapsed="false">
      <c r="A35" s="2" t="s">
        <v>533</v>
      </c>
      <c r="B35" s="2" t="n">
        <v>1</v>
      </c>
      <c r="C35" s="7" t="n">
        <v>0.5</v>
      </c>
      <c r="D35" s="7" t="n">
        <v>0.33</v>
      </c>
      <c r="E35" s="16" t="s">
        <v>126</v>
      </c>
      <c r="F35" s="7" t="n">
        <f aca="false">C35*D35</f>
        <v>0.165</v>
      </c>
      <c r="G35" s="2" t="s">
        <v>183</v>
      </c>
      <c r="H35" s="2"/>
      <c r="I35" s="2" t="s">
        <v>112</v>
      </c>
      <c r="J35" s="16"/>
    </row>
    <row r="36" customFormat="false" ht="15" hidden="false" customHeight="false" outlineLevel="0" collapsed="false">
      <c r="A36" s="17" t="s">
        <v>534</v>
      </c>
      <c r="B36" s="17" t="n">
        <v>1</v>
      </c>
      <c r="C36" s="18" t="n">
        <v>0.6</v>
      </c>
      <c r="D36" s="18" t="n">
        <v>0.4</v>
      </c>
      <c r="E36" s="19" t="s">
        <v>126</v>
      </c>
      <c r="F36" s="18" t="n">
        <f aca="false">C36*D36</f>
        <v>0.24</v>
      </c>
      <c r="G36" s="17" t="s">
        <v>299</v>
      </c>
      <c r="H36" s="17"/>
      <c r="I36" s="17" t="s">
        <v>112</v>
      </c>
      <c r="J36" s="19"/>
    </row>
    <row r="38" customFormat="false" ht="15" hidden="false" customHeight="false" outlineLevel="0" collapsed="false">
      <c r="A38" s="6" t="s">
        <v>69</v>
      </c>
      <c r="B38" s="6"/>
      <c r="C38" s="12" t="n">
        <v>4</v>
      </c>
      <c r="D38" s="12" t="n">
        <v>1.6</v>
      </c>
      <c r="E38" s="6"/>
      <c r="F38" s="12" t="n">
        <f aca="false">C38*D38</f>
        <v>6.4</v>
      </c>
      <c r="G38" s="6"/>
      <c r="H38" s="6" t="str">
        <f aca="false">"Los equipos ocupan "&amp;TEXT(SUM(F39:F41),"0.0")&amp;" m² ("&amp;TEXT(SUM(F39:F41)/F38,"0%")&amp;")"</f>
        <v>Los equipos ocupan 1.7 m² (26%)</v>
      </c>
      <c r="I38" s="6" t="s">
        <v>112</v>
      </c>
      <c r="J38" s="6"/>
    </row>
    <row r="39" customFormat="false" ht="15" hidden="false" customHeight="false" outlineLevel="0" collapsed="false">
      <c r="A39" s="2" t="s">
        <v>535</v>
      </c>
      <c r="B39" s="2" t="n">
        <v>1</v>
      </c>
      <c r="C39" s="7" t="n">
        <v>1</v>
      </c>
      <c r="D39" s="7" t="n">
        <v>0.65</v>
      </c>
      <c r="E39" s="16" t="s">
        <v>126</v>
      </c>
      <c r="F39" s="7" t="n">
        <f aca="false">C39*D39</f>
        <v>0.65</v>
      </c>
      <c r="G39" s="2" t="s">
        <v>183</v>
      </c>
      <c r="H39" s="2"/>
      <c r="I39" s="2" t="s">
        <v>112</v>
      </c>
      <c r="J39" s="16"/>
    </row>
    <row r="40" customFormat="false" ht="15" hidden="false" customHeight="false" outlineLevel="0" collapsed="false">
      <c r="A40" s="2" t="s">
        <v>536</v>
      </c>
      <c r="B40" s="2" t="n">
        <v>1</v>
      </c>
      <c r="C40" s="7" t="n">
        <v>0.8</v>
      </c>
      <c r="D40" s="7" t="n">
        <v>0.65</v>
      </c>
      <c r="E40" s="16" t="s">
        <v>126</v>
      </c>
      <c r="F40" s="7" t="n">
        <f aca="false">C40*D40</f>
        <v>0.52</v>
      </c>
      <c r="G40" s="2" t="s">
        <v>299</v>
      </c>
      <c r="H40" s="2"/>
      <c r="I40" s="2" t="s">
        <v>112</v>
      </c>
      <c r="J40" s="16"/>
    </row>
    <row r="41" customFormat="false" ht="15" hidden="false" customHeight="false" outlineLevel="0" collapsed="false">
      <c r="A41" s="17" t="s">
        <v>537</v>
      </c>
      <c r="B41" s="17" t="n">
        <v>4</v>
      </c>
      <c r="C41" s="18" t="n">
        <v>1.6</v>
      </c>
      <c r="D41" s="18" t="n">
        <v>0.3</v>
      </c>
      <c r="E41" s="19" t="s">
        <v>126</v>
      </c>
      <c r="F41" s="18" t="n">
        <f aca="false">C41*D41</f>
        <v>0.48</v>
      </c>
      <c r="G41" s="17" t="s">
        <v>262</v>
      </c>
      <c r="H41" s="17" t="s">
        <v>538</v>
      </c>
      <c r="I41" s="17" t="s">
        <v>112</v>
      </c>
      <c r="J41" s="19"/>
    </row>
    <row r="43" customFormat="false" ht="15" hidden="false" customHeight="false" outlineLevel="0" collapsed="false">
      <c r="A43" s="6" t="s">
        <v>70</v>
      </c>
      <c r="B43" s="6"/>
      <c r="C43" s="12" t="n">
        <v>3.2</v>
      </c>
      <c r="D43" s="12" t="n">
        <v>1.8</v>
      </c>
      <c r="E43" s="6"/>
      <c r="F43" s="12" t="n">
        <f aca="false">C43*D43</f>
        <v>5.76</v>
      </c>
      <c r="G43" s="6"/>
      <c r="H43" s="6" t="str">
        <f aca="false">"Los equipos ocupan "&amp;TEXT(SUM(F44:F46),"0.0")&amp;" m² ("&amp;TEXT(SUM(F44:F46)/F43,"0%")&amp;")"</f>
        <v>Los equipos ocupan 1.2 m² (21%)</v>
      </c>
      <c r="I43" s="6" t="s">
        <v>112</v>
      </c>
      <c r="J43" s="6"/>
    </row>
    <row r="44" customFormat="false" ht="15" hidden="false" customHeight="false" outlineLevel="0" collapsed="false">
      <c r="A44" s="2" t="s">
        <v>539</v>
      </c>
      <c r="B44" s="2" t="n">
        <v>1</v>
      </c>
      <c r="C44" s="7" t="n">
        <v>0.8</v>
      </c>
      <c r="D44" s="7" t="n">
        <v>0.4</v>
      </c>
      <c r="E44" s="16" t="s">
        <v>126</v>
      </c>
      <c r="F44" s="7" t="n">
        <f aca="false">C44*D44</f>
        <v>0.32</v>
      </c>
      <c r="G44" s="2" t="s">
        <v>213</v>
      </c>
      <c r="H44" s="2"/>
      <c r="I44" s="2" t="s">
        <v>112</v>
      </c>
      <c r="J44" s="16"/>
    </row>
    <row r="45" customFormat="false" ht="15" hidden="false" customHeight="false" outlineLevel="0" collapsed="false">
      <c r="A45" s="2" t="s">
        <v>540</v>
      </c>
      <c r="B45" s="2" t="n">
        <v>1</v>
      </c>
      <c r="C45" s="7" t="n">
        <v>0.8</v>
      </c>
      <c r="D45" s="7" t="n">
        <v>0.75</v>
      </c>
      <c r="E45" s="16" t="s">
        <v>126</v>
      </c>
      <c r="F45" s="7" t="n">
        <f aca="false">C45*D45</f>
        <v>0.6</v>
      </c>
      <c r="G45" s="2" t="s">
        <v>213</v>
      </c>
      <c r="H45" s="2"/>
      <c r="I45" s="2" t="s">
        <v>112</v>
      </c>
      <c r="J45" s="16"/>
    </row>
    <row r="46" customFormat="false" ht="15" hidden="false" customHeight="false" outlineLevel="0" collapsed="false">
      <c r="A46" s="17" t="s">
        <v>541</v>
      </c>
      <c r="B46" s="17" t="n">
        <v>3</v>
      </c>
      <c r="C46" s="18" t="n">
        <v>1</v>
      </c>
      <c r="D46" s="18" t="n">
        <v>0.3</v>
      </c>
      <c r="E46" s="19" t="s">
        <v>126</v>
      </c>
      <c r="F46" s="18" t="n">
        <f aca="false">C46*D46</f>
        <v>0.3</v>
      </c>
      <c r="G46" s="17" t="s">
        <v>210</v>
      </c>
      <c r="H46" s="17" t="s">
        <v>542</v>
      </c>
      <c r="I46" s="17" t="s">
        <v>112</v>
      </c>
      <c r="J46" s="19"/>
    </row>
    <row r="48" customFormat="false" ht="23.85" hidden="false" customHeight="false" outlineLevel="0" collapsed="false">
      <c r="A48" s="6" t="s">
        <v>71</v>
      </c>
      <c r="B48" s="6"/>
      <c r="C48" s="12" t="n">
        <v>2</v>
      </c>
      <c r="D48" s="12" t="n">
        <v>3.05</v>
      </c>
      <c r="E48" s="6"/>
      <c r="F48" s="12" t="n">
        <f aca="false">C48*D48</f>
        <v>6.1</v>
      </c>
      <c r="G48" s="6"/>
      <c r="H48" s="6" t="str">
        <f aca="false">"Los equipos ocupan "&amp;TEXT(SUM(F49:F51),"0.0")&amp;" m² ("&amp;TEXT(SUM(F49:F51)/F48,"0%")&amp;")"</f>
        <v>Los equipos ocupan 1.7 m² (29%)</v>
      </c>
      <c r="I48" s="6" t="s">
        <v>112</v>
      </c>
      <c r="J48" s="6"/>
    </row>
    <row r="49" customFormat="false" ht="15" hidden="false" customHeight="false" outlineLevel="0" collapsed="false">
      <c r="A49" s="2" t="s">
        <v>543</v>
      </c>
      <c r="B49" s="2" t="n">
        <v>1</v>
      </c>
      <c r="C49" s="7" t="n">
        <v>0.85</v>
      </c>
      <c r="D49" s="7" t="n">
        <v>0.9</v>
      </c>
      <c r="E49" s="16" t="s">
        <v>126</v>
      </c>
      <c r="F49" s="7" t="n">
        <f aca="false">C49*D49</f>
        <v>0.765</v>
      </c>
      <c r="G49" s="2" t="s">
        <v>213</v>
      </c>
      <c r="H49" s="2"/>
      <c r="I49" s="2" t="s">
        <v>112</v>
      </c>
      <c r="J49" s="16"/>
    </row>
    <row r="50" customFormat="false" ht="15" hidden="false" customHeight="false" outlineLevel="0" collapsed="false">
      <c r="A50" s="2" t="s">
        <v>544</v>
      </c>
      <c r="B50" s="2" t="n">
        <v>1</v>
      </c>
      <c r="C50" s="7" t="n">
        <v>0.85</v>
      </c>
      <c r="D50" s="7" t="n">
        <v>0.9</v>
      </c>
      <c r="E50" s="16" t="s">
        <v>126</v>
      </c>
      <c r="F50" s="7" t="n">
        <f aca="false">C50*D50</f>
        <v>0.765</v>
      </c>
      <c r="G50" s="2" t="s">
        <v>213</v>
      </c>
      <c r="H50" s="2"/>
      <c r="I50" s="2" t="s">
        <v>112</v>
      </c>
      <c r="J50" s="16"/>
    </row>
    <row r="51" customFormat="false" ht="15" hidden="false" customHeight="false" outlineLevel="0" collapsed="false">
      <c r="A51" s="17" t="s">
        <v>545</v>
      </c>
      <c r="B51" s="17" t="n">
        <v>1</v>
      </c>
      <c r="C51" s="18" t="n">
        <v>0.3</v>
      </c>
      <c r="D51" s="18" t="n">
        <v>0.7</v>
      </c>
      <c r="E51" s="19" t="s">
        <v>126</v>
      </c>
      <c r="F51" s="18" t="n">
        <f aca="false">C51*D51</f>
        <v>0.21</v>
      </c>
      <c r="G51" s="17" t="s">
        <v>546</v>
      </c>
      <c r="H51" s="17" t="s">
        <v>547</v>
      </c>
      <c r="I51" s="17" t="s">
        <v>112</v>
      </c>
      <c r="J51" s="19" t="s">
        <v>548</v>
      </c>
    </row>
    <row r="53" customFormat="false" ht="15" hidden="false" customHeight="false" outlineLevel="0" collapsed="false">
      <c r="A53" s="6" t="s">
        <v>72</v>
      </c>
      <c r="B53" s="6"/>
      <c r="C53" s="12" t="n">
        <v>3.2</v>
      </c>
      <c r="D53" s="12" t="n">
        <v>1.8</v>
      </c>
      <c r="E53" s="6"/>
      <c r="F53" s="12" t="n">
        <f aca="false">C53*D53</f>
        <v>5.76</v>
      </c>
      <c r="G53" s="6"/>
      <c r="H53" s="6" t="str">
        <f aca="false">"Los equipos ocupan "&amp;TEXT(SUM(F54:F56),"0.0")&amp;" m² ("&amp;TEXT(SUM(F54:F56)/F53,"0%")&amp;")"</f>
        <v>Los equipos ocupan 1.6 m² (28%)</v>
      </c>
      <c r="I53" s="6" t="s">
        <v>112</v>
      </c>
      <c r="J53" s="6"/>
    </row>
    <row r="54" customFormat="false" ht="15" hidden="false" customHeight="false" outlineLevel="0" collapsed="false">
      <c r="A54" s="2" t="s">
        <v>549</v>
      </c>
      <c r="B54" s="2" t="n">
        <v>1</v>
      </c>
      <c r="C54" s="7" t="n">
        <v>0.8</v>
      </c>
      <c r="D54" s="7" t="n">
        <v>1.2</v>
      </c>
      <c r="E54" s="16" t="s">
        <v>126</v>
      </c>
      <c r="F54" s="7" t="n">
        <f aca="false">C54*D54</f>
        <v>0.96</v>
      </c>
      <c r="G54" s="2" t="s">
        <v>213</v>
      </c>
      <c r="H54" s="2"/>
      <c r="I54" s="2" t="s">
        <v>112</v>
      </c>
      <c r="J54" s="16"/>
    </row>
    <row r="55" customFormat="false" ht="15" hidden="false" customHeight="false" outlineLevel="0" collapsed="false">
      <c r="A55" s="2" t="s">
        <v>550</v>
      </c>
      <c r="B55" s="2" t="n">
        <v>1</v>
      </c>
      <c r="C55" s="7" t="n">
        <v>0.9</v>
      </c>
      <c r="D55" s="7" t="n">
        <v>0.4</v>
      </c>
      <c r="E55" s="16" t="s">
        <v>126</v>
      </c>
      <c r="F55" s="7" t="n">
        <f aca="false">C55*D55</f>
        <v>0.36</v>
      </c>
      <c r="G55" s="2" t="s">
        <v>183</v>
      </c>
      <c r="H55" s="2"/>
      <c r="I55" s="2" t="s">
        <v>112</v>
      </c>
      <c r="J55" s="16"/>
    </row>
    <row r="56" customFormat="false" ht="15" hidden="false" customHeight="false" outlineLevel="0" collapsed="false">
      <c r="A56" s="17" t="s">
        <v>551</v>
      </c>
      <c r="B56" s="17" t="n">
        <v>1</v>
      </c>
      <c r="C56" s="18" t="n">
        <v>0.65</v>
      </c>
      <c r="D56" s="18" t="n">
        <v>0.45</v>
      </c>
      <c r="E56" s="19" t="s">
        <v>126</v>
      </c>
      <c r="F56" s="18" t="n">
        <f aca="false">C56*D56</f>
        <v>0.2925</v>
      </c>
      <c r="G56" s="17" t="s">
        <v>299</v>
      </c>
      <c r="H56" s="17"/>
      <c r="I56" s="17" t="s">
        <v>112</v>
      </c>
      <c r="J56" s="19"/>
    </row>
    <row r="58" customFormat="false" ht="15" hidden="false" customHeight="false" outlineLevel="0" collapsed="false">
      <c r="A58" s="6" t="s">
        <v>73</v>
      </c>
      <c r="B58" s="6"/>
      <c r="C58" s="12" t="n">
        <v>3.2</v>
      </c>
      <c r="D58" s="12" t="n">
        <v>3.6</v>
      </c>
      <c r="E58" s="6"/>
      <c r="F58" s="12" t="n">
        <f aca="false">C58*D58</f>
        <v>11.52</v>
      </c>
      <c r="G58" s="6"/>
      <c r="H58" s="6" t="str">
        <f aca="false">"Los equipos ocupan "&amp;TEXT(SUM(F59:F64),"0.0")&amp;" m² ("&amp;TEXT(SUM(F59:F64)/F58,"0%")&amp;")"</f>
        <v>Los equipos ocupan 5.7 m² (49%)</v>
      </c>
      <c r="I58" s="6" t="s">
        <v>112</v>
      </c>
      <c r="J58" s="6"/>
    </row>
    <row r="59" customFormat="false" ht="15" hidden="false" customHeight="false" outlineLevel="0" collapsed="false">
      <c r="A59" s="2" t="s">
        <v>552</v>
      </c>
      <c r="B59" s="2" t="n">
        <v>1</v>
      </c>
      <c r="C59" s="7" t="n">
        <v>0.75</v>
      </c>
      <c r="D59" s="7" t="n">
        <v>0.65</v>
      </c>
      <c r="E59" s="16" t="s">
        <v>126</v>
      </c>
      <c r="F59" s="7" t="n">
        <f aca="false">C59*D59</f>
        <v>0.4875</v>
      </c>
      <c r="G59" s="2" t="s">
        <v>210</v>
      </c>
      <c r="H59" s="2"/>
      <c r="I59" s="2" t="s">
        <v>112</v>
      </c>
      <c r="J59" s="16"/>
    </row>
    <row r="60" customFormat="false" ht="15" hidden="false" customHeight="false" outlineLevel="0" collapsed="false">
      <c r="A60" s="2" t="s">
        <v>553</v>
      </c>
      <c r="B60" s="2" t="n">
        <v>1</v>
      </c>
      <c r="C60" s="7" t="n">
        <v>0.8</v>
      </c>
      <c r="D60" s="7" t="n">
        <v>0.65</v>
      </c>
      <c r="E60" s="16" t="s">
        <v>126</v>
      </c>
      <c r="F60" s="7" t="n">
        <f aca="false">C60*D60</f>
        <v>0.52</v>
      </c>
      <c r="G60" s="2" t="s">
        <v>210</v>
      </c>
      <c r="H60" s="2"/>
      <c r="I60" s="2" t="s">
        <v>112</v>
      </c>
      <c r="J60" s="16"/>
    </row>
    <row r="61" customFormat="false" ht="15" hidden="false" customHeight="false" outlineLevel="0" collapsed="false">
      <c r="A61" s="2" t="s">
        <v>554</v>
      </c>
      <c r="B61" s="2" t="n">
        <v>1</v>
      </c>
      <c r="C61" s="7" t="n">
        <v>1.85</v>
      </c>
      <c r="D61" s="7" t="n">
        <v>0.85</v>
      </c>
      <c r="E61" s="16" t="s">
        <v>126</v>
      </c>
      <c r="F61" s="7" t="n">
        <f aca="false">C61*D61</f>
        <v>1.5725</v>
      </c>
      <c r="G61" s="2" t="s">
        <v>210</v>
      </c>
      <c r="H61" s="2"/>
      <c r="I61" s="2" t="s">
        <v>112</v>
      </c>
      <c r="J61" s="16"/>
    </row>
    <row r="62" customFormat="false" ht="15" hidden="false" customHeight="false" outlineLevel="0" collapsed="false">
      <c r="A62" s="2" t="s">
        <v>555</v>
      </c>
      <c r="B62" s="2" t="n">
        <v>1</v>
      </c>
      <c r="C62" s="7" t="n">
        <v>0.6</v>
      </c>
      <c r="D62" s="7" t="n">
        <v>1.75</v>
      </c>
      <c r="E62" s="16" t="s">
        <v>126</v>
      </c>
      <c r="F62" s="7" t="n">
        <f aca="false">C62*D62</f>
        <v>1.05</v>
      </c>
      <c r="G62" s="2" t="s">
        <v>213</v>
      </c>
      <c r="H62" s="2" t="s">
        <v>556</v>
      </c>
      <c r="I62" s="2" t="s">
        <v>112</v>
      </c>
      <c r="J62" s="16"/>
    </row>
    <row r="63" customFormat="false" ht="15" hidden="false" customHeight="false" outlineLevel="0" collapsed="false">
      <c r="A63" s="2" t="s">
        <v>557</v>
      </c>
      <c r="B63" s="2" t="n">
        <v>1</v>
      </c>
      <c r="C63" s="7" t="n">
        <v>0.75</v>
      </c>
      <c r="D63" s="7" t="n">
        <v>0.4</v>
      </c>
      <c r="E63" s="16" t="s">
        <v>126</v>
      </c>
      <c r="F63" s="7" t="n">
        <f aca="false">C63*D63</f>
        <v>0.3</v>
      </c>
      <c r="G63" s="2" t="s">
        <v>262</v>
      </c>
      <c r="H63" s="2"/>
      <c r="I63" s="2" t="s">
        <v>112</v>
      </c>
      <c r="J63" s="16"/>
    </row>
    <row r="64" customFormat="false" ht="15" hidden="false" customHeight="false" outlineLevel="0" collapsed="false">
      <c r="A64" s="17" t="s">
        <v>558</v>
      </c>
      <c r="B64" s="17" t="n">
        <v>1</v>
      </c>
      <c r="C64" s="18" t="n">
        <v>2.95</v>
      </c>
      <c r="D64" s="18" t="n">
        <v>0.6</v>
      </c>
      <c r="E64" s="19" t="s">
        <v>126</v>
      </c>
      <c r="F64" s="18" t="n">
        <f aca="false">C64*D64</f>
        <v>1.77</v>
      </c>
      <c r="G64" s="17" t="s">
        <v>292</v>
      </c>
      <c r="H64" s="17"/>
      <c r="I64" s="17" t="s">
        <v>112</v>
      </c>
      <c r="J64" s="19" t="s">
        <v>446</v>
      </c>
    </row>
    <row r="66" customFormat="false" ht="15" hidden="false" customHeight="false" outlineLevel="0" collapsed="false">
      <c r="A66" s="6" t="s">
        <v>74</v>
      </c>
      <c r="B66" s="6"/>
      <c r="C66" s="12" t="n">
        <v>4</v>
      </c>
      <c r="D66" s="12" t="n">
        <v>2.9</v>
      </c>
      <c r="E66" s="6"/>
      <c r="F66" s="12" t="n">
        <f aca="false">C66*D66</f>
        <v>11.6</v>
      </c>
      <c r="G66" s="6"/>
      <c r="H66" s="6" t="str">
        <f aca="false">"Los equipos ocupan "&amp;TEXT(SUM(F67:F71),"0.0")&amp;" m² ("&amp;TEXT(SUM(F67:F71)/F66,"0%")&amp;")"</f>
        <v>Los equipos ocupan 2.0 m² (17%)</v>
      </c>
      <c r="I66" s="6" t="s">
        <v>112</v>
      </c>
      <c r="J66" s="6"/>
    </row>
    <row r="67" customFormat="false" ht="15" hidden="false" customHeight="false" outlineLevel="0" collapsed="false">
      <c r="A67" s="15" t="s">
        <v>559</v>
      </c>
      <c r="B67" s="15"/>
      <c r="C67" s="15"/>
      <c r="D67" s="15"/>
      <c r="E67" s="15"/>
      <c r="F67" s="15"/>
      <c r="G67" s="15"/>
      <c r="H67" s="15" t="s">
        <v>560</v>
      </c>
      <c r="I67" s="15" t="s">
        <v>114</v>
      </c>
      <c r="J67" s="21" t="s">
        <v>561</v>
      </c>
    </row>
    <row r="68" customFormat="false" ht="23.85" hidden="false" customHeight="false" outlineLevel="0" collapsed="false">
      <c r="A68" s="2" t="s">
        <v>562</v>
      </c>
      <c r="B68" s="2" t="n">
        <v>1</v>
      </c>
      <c r="C68" s="7" t="n">
        <v>1.2</v>
      </c>
      <c r="D68" s="7" t="n">
        <v>1.05</v>
      </c>
      <c r="E68" s="16" t="s">
        <v>126</v>
      </c>
      <c r="F68" s="7" t="n">
        <f aca="false">C68*D68</f>
        <v>1.26</v>
      </c>
      <c r="G68" s="2" t="s">
        <v>210</v>
      </c>
      <c r="H68" s="2" t="s">
        <v>563</v>
      </c>
      <c r="I68" s="2" t="s">
        <v>112</v>
      </c>
      <c r="J68" s="16"/>
    </row>
    <row r="69" customFormat="false" ht="15" hidden="false" customHeight="false" outlineLevel="0" collapsed="false">
      <c r="A69" s="2" t="s">
        <v>564</v>
      </c>
      <c r="B69" s="2" t="n">
        <v>1</v>
      </c>
      <c r="C69" s="7" t="n">
        <v>0.54</v>
      </c>
      <c r="D69" s="7" t="n">
        <v>0.54</v>
      </c>
      <c r="E69" s="16" t="s">
        <v>126</v>
      </c>
      <c r="F69" s="7" t="n">
        <f aca="false">C69*D69</f>
        <v>0.2916</v>
      </c>
      <c r="G69" s="2" t="s">
        <v>213</v>
      </c>
      <c r="H69" s="2" t="s">
        <v>565</v>
      </c>
      <c r="I69" s="2" t="s">
        <v>112</v>
      </c>
      <c r="J69" s="16"/>
    </row>
    <row r="70" customFormat="false" ht="15" hidden="false" customHeight="false" outlineLevel="0" collapsed="false">
      <c r="A70" s="15" t="s">
        <v>566</v>
      </c>
      <c r="B70" s="15"/>
      <c r="C70" s="15"/>
      <c r="D70" s="15"/>
      <c r="E70" s="15"/>
      <c r="F70" s="15"/>
      <c r="G70" s="15"/>
      <c r="H70" s="15" t="s">
        <v>567</v>
      </c>
      <c r="I70" s="15" t="s">
        <v>114</v>
      </c>
      <c r="J70" s="21" t="s">
        <v>561</v>
      </c>
    </row>
    <row r="71" customFormat="false" ht="15" hidden="false" customHeight="false" outlineLevel="0" collapsed="false">
      <c r="A71" s="17" t="s">
        <v>568</v>
      </c>
      <c r="B71" s="17" t="n">
        <v>1</v>
      </c>
      <c r="C71" s="18" t="n">
        <v>1.2</v>
      </c>
      <c r="D71" s="18" t="n">
        <v>0.38</v>
      </c>
      <c r="E71" s="19" t="s">
        <v>126</v>
      </c>
      <c r="F71" s="18" t="n">
        <f aca="false">C71*D71</f>
        <v>0.456</v>
      </c>
      <c r="G71" s="17" t="s">
        <v>312</v>
      </c>
      <c r="H71" s="17"/>
      <c r="I71" s="17" t="s">
        <v>112</v>
      </c>
      <c r="J71" s="19"/>
    </row>
    <row r="73" customFormat="false" ht="15" hidden="false" customHeight="false" outlineLevel="0" collapsed="false">
      <c r="A73" s="6" t="s">
        <v>75</v>
      </c>
      <c r="B73" s="6"/>
      <c r="C73" s="12" t="n">
        <v>4</v>
      </c>
      <c r="D73" s="12" t="n">
        <v>1.6</v>
      </c>
      <c r="E73" s="6"/>
      <c r="F73" s="12" t="n">
        <f aca="false">C73*D73</f>
        <v>6.4</v>
      </c>
      <c r="G73" s="6"/>
      <c r="H73" s="6" t="str">
        <f aca="false">"Los equipos ocupan "&amp;TEXT(SUM(F74:F77),"0.0")&amp;" m² ("&amp;TEXT(SUM(F74:F77)/F73,"0%")&amp;")"</f>
        <v>Los equipos ocupan 1.7 m² (27%)</v>
      </c>
      <c r="I73" s="6" t="s">
        <v>112</v>
      </c>
      <c r="J73" s="6"/>
    </row>
    <row r="74" customFormat="false" ht="15" hidden="false" customHeight="false" outlineLevel="0" collapsed="false">
      <c r="A74" s="15" t="s">
        <v>569</v>
      </c>
      <c r="B74" s="15"/>
      <c r="C74" s="15"/>
      <c r="D74" s="15"/>
      <c r="E74" s="15"/>
      <c r="F74" s="15"/>
      <c r="G74" s="15"/>
      <c r="H74" s="15" t="s">
        <v>570</v>
      </c>
      <c r="I74" s="15" t="s">
        <v>114</v>
      </c>
      <c r="J74" s="21" t="s">
        <v>561</v>
      </c>
    </row>
    <row r="75" customFormat="false" ht="15" hidden="false" customHeight="false" outlineLevel="0" collapsed="false">
      <c r="A75" s="2" t="s">
        <v>571</v>
      </c>
      <c r="B75" s="2" t="n">
        <v>1</v>
      </c>
      <c r="C75" s="7" t="n">
        <v>1</v>
      </c>
      <c r="D75" s="7" t="n">
        <v>0.9</v>
      </c>
      <c r="E75" s="16" t="s">
        <v>126</v>
      </c>
      <c r="F75" s="7" t="n">
        <f aca="false">C75*D75</f>
        <v>0.9</v>
      </c>
      <c r="G75" s="2" t="s">
        <v>210</v>
      </c>
      <c r="H75" s="2" t="s">
        <v>572</v>
      </c>
      <c r="I75" s="2" t="s">
        <v>112</v>
      </c>
      <c r="J75" s="16"/>
    </row>
    <row r="76" customFormat="false" ht="15" hidden="false" customHeight="false" outlineLevel="0" collapsed="false">
      <c r="A76" s="15" t="s">
        <v>573</v>
      </c>
      <c r="B76" s="15"/>
      <c r="C76" s="15"/>
      <c r="D76" s="15"/>
      <c r="E76" s="15"/>
      <c r="F76" s="15"/>
      <c r="G76" s="15"/>
      <c r="H76" s="15" t="s">
        <v>574</v>
      </c>
      <c r="I76" s="15" t="s">
        <v>114</v>
      </c>
      <c r="J76" s="21" t="s">
        <v>561</v>
      </c>
    </row>
    <row r="77" customFormat="false" ht="15" hidden="false" customHeight="false" outlineLevel="0" collapsed="false">
      <c r="A77" s="17" t="s">
        <v>575</v>
      </c>
      <c r="B77" s="17" t="n">
        <v>1</v>
      </c>
      <c r="C77" s="18" t="n">
        <v>0.9</v>
      </c>
      <c r="D77" s="18" t="n">
        <v>0.9</v>
      </c>
      <c r="E77" s="19" t="s">
        <v>126</v>
      </c>
      <c r="F77" s="18" t="n">
        <f aca="false">C77*D77</f>
        <v>0.81</v>
      </c>
      <c r="G77" s="17" t="s">
        <v>216</v>
      </c>
      <c r="H77" s="17"/>
      <c r="I77" s="17" t="s">
        <v>112</v>
      </c>
      <c r="J77" s="19"/>
    </row>
    <row r="79" customFormat="false" ht="15" hidden="false" customHeight="false" outlineLevel="0" collapsed="false">
      <c r="A79" s="6" t="s">
        <v>76</v>
      </c>
      <c r="B79" s="6"/>
      <c r="C79" s="12" t="n">
        <v>2</v>
      </c>
      <c r="D79" s="12" t="n">
        <v>3.05</v>
      </c>
      <c r="E79" s="6"/>
      <c r="F79" s="12" t="n">
        <f aca="false">C79*D79</f>
        <v>6.1</v>
      </c>
      <c r="G79" s="6"/>
      <c r="H79" s="6" t="str">
        <f aca="false">"Los equipos ocupan "&amp;TEXT(SUM(F80:F82),"0.0")&amp;" m² ("&amp;TEXT(SUM(F80:F82)/F79,"0%")&amp;")"</f>
        <v>Los equipos ocupan 0.6 m² (10%)</v>
      </c>
      <c r="I79" s="6" t="s">
        <v>112</v>
      </c>
      <c r="J79" s="6"/>
    </row>
    <row r="80" customFormat="false" ht="15" hidden="false" customHeight="false" outlineLevel="0" collapsed="false">
      <c r="A80" s="2" t="s">
        <v>576</v>
      </c>
      <c r="B80" s="2" t="n">
        <v>1</v>
      </c>
      <c r="C80" s="7" t="n">
        <v>0.54</v>
      </c>
      <c r="D80" s="7" t="n">
        <v>0.54</v>
      </c>
      <c r="E80" s="16" t="s">
        <v>126</v>
      </c>
      <c r="F80" s="7" t="n">
        <f aca="false">C80*D80</f>
        <v>0.2916</v>
      </c>
      <c r="G80" s="2" t="s">
        <v>210</v>
      </c>
      <c r="H80" s="2" t="s">
        <v>577</v>
      </c>
      <c r="I80" s="2" t="s">
        <v>112</v>
      </c>
      <c r="J80" s="16"/>
    </row>
    <row r="81" customFormat="false" ht="15" hidden="false" customHeight="false" outlineLevel="0" collapsed="false">
      <c r="A81" s="2" t="s">
        <v>578</v>
      </c>
      <c r="B81" s="2" t="n">
        <v>1</v>
      </c>
      <c r="C81" s="7" t="n">
        <v>0.54</v>
      </c>
      <c r="D81" s="7" t="n">
        <v>0.54</v>
      </c>
      <c r="E81" s="16" t="s">
        <v>126</v>
      </c>
      <c r="F81" s="7" t="n">
        <f aca="false">C81*D81</f>
        <v>0.2916</v>
      </c>
      <c r="G81" s="2" t="s">
        <v>210</v>
      </c>
      <c r="H81" s="2" t="s">
        <v>577</v>
      </c>
      <c r="I81" s="2" t="s">
        <v>112</v>
      </c>
      <c r="J81" s="16"/>
    </row>
    <row r="82" customFormat="false" ht="23.85" hidden="false" customHeight="false" outlineLevel="0" collapsed="false">
      <c r="A82" s="17" t="s">
        <v>579</v>
      </c>
      <c r="B82" s="17"/>
      <c r="C82" s="18"/>
      <c r="D82" s="18"/>
      <c r="E82" s="19" t="s">
        <v>126</v>
      </c>
      <c r="F82" s="20"/>
      <c r="G82" s="17"/>
      <c r="H82" s="17" t="s">
        <v>580</v>
      </c>
      <c r="I82" s="17" t="s">
        <v>112</v>
      </c>
      <c r="J82" s="19" t="s">
        <v>581</v>
      </c>
    </row>
    <row r="84" customFormat="false" ht="23.85" hidden="false" customHeight="false" outlineLevel="0" collapsed="false">
      <c r="A84" s="6" t="s">
        <v>77</v>
      </c>
      <c r="B84" s="6"/>
      <c r="C84" s="12" t="n">
        <v>2</v>
      </c>
      <c r="D84" s="12" t="n">
        <v>3.35</v>
      </c>
      <c r="E84" s="6"/>
      <c r="F84" s="12" t="n">
        <f aca="false">C84*D84</f>
        <v>6.7</v>
      </c>
      <c r="G84" s="6"/>
      <c r="H84" s="6" t="str">
        <f aca="false">"Los equipos ocupan "&amp;TEXT(SUM(F85:F89),"0.0")&amp;" m² ("&amp;TEXT(SUM(F85:F89)/F84,"0%")&amp;")"</f>
        <v>Los equipos ocupan 2.0 m² (31%)</v>
      </c>
      <c r="I84" s="6" t="s">
        <v>112</v>
      </c>
      <c r="J84" s="6"/>
    </row>
    <row r="85" customFormat="false" ht="15" hidden="false" customHeight="false" outlineLevel="0" collapsed="false">
      <c r="A85" s="2" t="s">
        <v>582</v>
      </c>
      <c r="B85" s="2" t="n">
        <v>1</v>
      </c>
      <c r="C85" s="7" t="n">
        <v>0.95</v>
      </c>
      <c r="D85" s="7" t="n">
        <v>0.7</v>
      </c>
      <c r="E85" s="16" t="s">
        <v>126</v>
      </c>
      <c r="F85" s="7" t="n">
        <f aca="false">C85*D85</f>
        <v>0.665</v>
      </c>
      <c r="G85" s="2" t="s">
        <v>216</v>
      </c>
      <c r="H85" s="2"/>
      <c r="I85" s="2" t="s">
        <v>112</v>
      </c>
      <c r="J85" s="16"/>
    </row>
    <row r="86" customFormat="false" ht="15" hidden="false" customHeight="false" outlineLevel="0" collapsed="false">
      <c r="A86" s="2" t="s">
        <v>583</v>
      </c>
      <c r="B86" s="2" t="n">
        <v>1</v>
      </c>
      <c r="C86" s="7" t="n">
        <v>0.95</v>
      </c>
      <c r="D86" s="7" t="n">
        <v>0.7</v>
      </c>
      <c r="E86" s="16" t="s">
        <v>126</v>
      </c>
      <c r="F86" s="7" t="n">
        <f aca="false">C86*D86</f>
        <v>0.665</v>
      </c>
      <c r="G86" s="2" t="s">
        <v>216</v>
      </c>
      <c r="H86" s="2"/>
      <c r="I86" s="2" t="s">
        <v>112</v>
      </c>
      <c r="J86" s="16"/>
    </row>
    <row r="87" customFormat="false" ht="15" hidden="false" customHeight="false" outlineLevel="0" collapsed="false">
      <c r="A87" s="2" t="s">
        <v>355</v>
      </c>
      <c r="B87" s="2" t="n">
        <v>1</v>
      </c>
      <c r="C87" s="7" t="n">
        <v>0.45</v>
      </c>
      <c r="D87" s="7" t="n">
        <v>0.45</v>
      </c>
      <c r="E87" s="16" t="s">
        <v>126</v>
      </c>
      <c r="F87" s="7" t="n">
        <f aca="false">C87*D87</f>
        <v>0.2025</v>
      </c>
      <c r="G87" s="2" t="s">
        <v>262</v>
      </c>
      <c r="H87" s="2"/>
      <c r="I87" s="2" t="s">
        <v>112</v>
      </c>
      <c r="J87" s="16"/>
    </row>
    <row r="88" customFormat="false" ht="15" hidden="false" customHeight="false" outlineLevel="0" collapsed="false">
      <c r="A88" s="2" t="s">
        <v>584</v>
      </c>
      <c r="B88" s="2" t="n">
        <v>1</v>
      </c>
      <c r="C88" s="7" t="n">
        <v>0.55</v>
      </c>
      <c r="D88" s="7" t="n">
        <v>0.55</v>
      </c>
      <c r="E88" s="16" t="s">
        <v>126</v>
      </c>
      <c r="F88" s="7" t="n">
        <f aca="false">C88*D88</f>
        <v>0.3025</v>
      </c>
      <c r="G88" s="2" t="s">
        <v>262</v>
      </c>
      <c r="H88" s="2"/>
      <c r="I88" s="2" t="s">
        <v>112</v>
      </c>
      <c r="J88" s="16"/>
    </row>
    <row r="89" customFormat="false" ht="15" hidden="false" customHeight="false" outlineLevel="0" collapsed="false">
      <c r="A89" s="17" t="s">
        <v>585</v>
      </c>
      <c r="B89" s="17" t="n">
        <v>1</v>
      </c>
      <c r="C89" s="18" t="n">
        <v>0.3</v>
      </c>
      <c r="D89" s="18" t="n">
        <v>0.7</v>
      </c>
      <c r="E89" s="19" t="s">
        <v>126</v>
      </c>
      <c r="F89" s="18" t="n">
        <f aca="false">C89*D89</f>
        <v>0.21</v>
      </c>
      <c r="G89" s="17" t="s">
        <v>546</v>
      </c>
      <c r="H89" s="17" t="s">
        <v>547</v>
      </c>
      <c r="I89" s="17" t="s">
        <v>112</v>
      </c>
      <c r="J89" s="19" t="s">
        <v>548</v>
      </c>
    </row>
    <row r="91" customFormat="false" ht="15" hidden="false" customHeight="false" outlineLevel="0" collapsed="false">
      <c r="A91" s="6" t="s">
        <v>78</v>
      </c>
      <c r="B91" s="6"/>
      <c r="C91" s="12" t="n">
        <v>2</v>
      </c>
      <c r="D91" s="12" t="n">
        <v>2.25</v>
      </c>
      <c r="E91" s="6"/>
      <c r="F91" s="12" t="n">
        <f aca="false">C91*D91</f>
        <v>4.5</v>
      </c>
      <c r="G91" s="6"/>
      <c r="H91" s="6" t="str">
        <f aca="false">"Los equipos ocupan "&amp;TEXT(SUM(F92:F97),"0.0")&amp;" m² ("&amp;TEXT(SUM(F92:F97)/F91,"0%")&amp;")"</f>
        <v>Los equipos ocupan 1.6 m² (36%)</v>
      </c>
      <c r="I91" s="6" t="s">
        <v>112</v>
      </c>
      <c r="J91" s="6"/>
    </row>
    <row r="92" customFormat="false" ht="23.85" hidden="false" customHeight="false" outlineLevel="0" collapsed="false">
      <c r="A92" s="15" t="s">
        <v>586</v>
      </c>
      <c r="B92" s="15"/>
      <c r="C92" s="15"/>
      <c r="D92" s="15"/>
      <c r="E92" s="15"/>
      <c r="F92" s="15"/>
      <c r="G92" s="15"/>
      <c r="H92" s="15" t="s">
        <v>587</v>
      </c>
      <c r="I92" s="15" t="s">
        <v>114</v>
      </c>
      <c r="J92" s="21" t="s">
        <v>561</v>
      </c>
    </row>
    <row r="93" customFormat="false" ht="15" hidden="false" customHeight="false" outlineLevel="0" collapsed="false">
      <c r="A93" s="2" t="s">
        <v>588</v>
      </c>
      <c r="B93" s="2" t="n">
        <v>1</v>
      </c>
      <c r="C93" s="7" t="n">
        <v>0.8</v>
      </c>
      <c r="D93" s="7" t="n">
        <v>0.6</v>
      </c>
      <c r="E93" s="16" t="s">
        <v>126</v>
      </c>
      <c r="F93" s="7" t="n">
        <f aca="false">C93*D93</f>
        <v>0.48</v>
      </c>
      <c r="G93" s="2" t="s">
        <v>312</v>
      </c>
      <c r="H93" s="2" t="s">
        <v>589</v>
      </c>
      <c r="I93" s="2" t="s">
        <v>112</v>
      </c>
      <c r="J93" s="16"/>
    </row>
    <row r="94" customFormat="false" ht="15" hidden="false" customHeight="false" outlineLevel="0" collapsed="false">
      <c r="A94" s="2" t="s">
        <v>355</v>
      </c>
      <c r="B94" s="2" t="n">
        <v>1</v>
      </c>
      <c r="C94" s="7" t="n">
        <v>0.55</v>
      </c>
      <c r="D94" s="7" t="n">
        <v>0.45</v>
      </c>
      <c r="E94" s="16" t="s">
        <v>126</v>
      </c>
      <c r="F94" s="7" t="n">
        <f aca="false">C94*D94</f>
        <v>0.2475</v>
      </c>
      <c r="G94" s="2" t="s">
        <v>163</v>
      </c>
      <c r="H94" s="2"/>
      <c r="I94" s="2" t="s">
        <v>112</v>
      </c>
      <c r="J94" s="16"/>
    </row>
    <row r="95" customFormat="false" ht="15" hidden="false" customHeight="false" outlineLevel="0" collapsed="false">
      <c r="A95" s="2" t="s">
        <v>590</v>
      </c>
      <c r="B95" s="2" t="n">
        <v>1</v>
      </c>
      <c r="C95" s="7" t="n">
        <v>1</v>
      </c>
      <c r="D95" s="7" t="n">
        <v>0.55</v>
      </c>
      <c r="E95" s="16" t="s">
        <v>126</v>
      </c>
      <c r="F95" s="7" t="n">
        <f aca="false">C95*D95</f>
        <v>0.55</v>
      </c>
      <c r="G95" s="2" t="s">
        <v>216</v>
      </c>
      <c r="H95" s="2"/>
      <c r="I95" s="2" t="s">
        <v>112</v>
      </c>
      <c r="J95" s="16"/>
    </row>
    <row r="96" customFormat="false" ht="23.85" hidden="false" customHeight="false" outlineLevel="0" collapsed="false">
      <c r="A96" s="15" t="s">
        <v>591</v>
      </c>
      <c r="B96" s="15"/>
      <c r="C96" s="15"/>
      <c r="D96" s="15"/>
      <c r="E96" s="15"/>
      <c r="F96" s="15"/>
      <c r="G96" s="15"/>
      <c r="H96" s="15" t="s">
        <v>592</v>
      </c>
      <c r="I96" s="15" t="s">
        <v>114</v>
      </c>
      <c r="J96" s="21" t="s">
        <v>561</v>
      </c>
    </row>
    <row r="97" customFormat="false" ht="15" hidden="false" customHeight="false" outlineLevel="0" collapsed="false">
      <c r="A97" s="17" t="s">
        <v>593</v>
      </c>
      <c r="B97" s="17" t="n">
        <v>1</v>
      </c>
      <c r="C97" s="18" t="n">
        <v>0.6</v>
      </c>
      <c r="D97" s="18" t="n">
        <v>0.6</v>
      </c>
      <c r="E97" s="19" t="s">
        <v>126</v>
      </c>
      <c r="F97" s="18" t="n">
        <f aca="false">C97*D97</f>
        <v>0.36</v>
      </c>
      <c r="G97" s="17" t="s">
        <v>299</v>
      </c>
      <c r="H97" s="17" t="s">
        <v>518</v>
      </c>
      <c r="I97" s="17" t="s">
        <v>112</v>
      </c>
      <c r="J97" s="19"/>
    </row>
    <row r="99" customFormat="false" ht="15" hidden="false" customHeight="false" outlineLevel="0" collapsed="false">
      <c r="A99" s="6" t="s">
        <v>79</v>
      </c>
      <c r="B99" s="6"/>
      <c r="C99" s="12" t="n">
        <v>2</v>
      </c>
      <c r="D99" s="12" t="n">
        <v>2.55</v>
      </c>
      <c r="E99" s="6"/>
      <c r="F99" s="12" t="n">
        <f aca="false">C99*D99</f>
        <v>5.1</v>
      </c>
      <c r="G99" s="6"/>
      <c r="H99" s="6" t="str">
        <f aca="false">"Los equipos ocupan "&amp;TEXT(SUM(F100:F101),"0.0")&amp;" m² ("&amp;TEXT(SUM(F100:F101)/F99,"0%")&amp;")"</f>
        <v>Los equipos ocupan 1.4 m² (28%)</v>
      </c>
      <c r="I99" s="6" t="s">
        <v>112</v>
      </c>
      <c r="J99" s="6"/>
    </row>
    <row r="100" customFormat="false" ht="15" hidden="false" customHeight="false" outlineLevel="0" collapsed="false">
      <c r="A100" s="2" t="s">
        <v>594</v>
      </c>
      <c r="B100" s="2" t="n">
        <v>1</v>
      </c>
      <c r="C100" s="7" t="n">
        <v>0.85</v>
      </c>
      <c r="D100" s="7" t="n">
        <v>0.85</v>
      </c>
      <c r="E100" s="16" t="s">
        <v>126</v>
      </c>
      <c r="F100" s="7" t="n">
        <f aca="false">C100*D100</f>
        <v>0.7225</v>
      </c>
      <c r="G100" s="2" t="s">
        <v>213</v>
      </c>
      <c r="H100" s="2"/>
      <c r="I100" s="2" t="s">
        <v>112</v>
      </c>
      <c r="J100" s="16"/>
    </row>
    <row r="101" customFormat="false" ht="15" hidden="false" customHeight="false" outlineLevel="0" collapsed="false">
      <c r="A101" s="17" t="s">
        <v>595</v>
      </c>
      <c r="B101" s="17" t="n">
        <v>1</v>
      </c>
      <c r="C101" s="18" t="n">
        <v>0.85</v>
      </c>
      <c r="D101" s="18" t="n">
        <v>0.85</v>
      </c>
      <c r="E101" s="19" t="s">
        <v>126</v>
      </c>
      <c r="F101" s="18" t="n">
        <f aca="false">C101*D101</f>
        <v>0.7225</v>
      </c>
      <c r="G101" s="17" t="s">
        <v>213</v>
      </c>
      <c r="H101" s="17"/>
      <c r="I101" s="17" t="s">
        <v>112</v>
      </c>
      <c r="J101" s="19"/>
    </row>
    <row r="103" customFormat="false" ht="15" hidden="false" customHeight="false" outlineLevel="0" collapsed="false">
      <c r="A103" s="6" t="s">
        <v>80</v>
      </c>
      <c r="B103" s="6"/>
      <c r="C103" s="12" t="n">
        <v>2</v>
      </c>
      <c r="D103" s="12" t="n">
        <v>1.6</v>
      </c>
      <c r="E103" s="6"/>
      <c r="F103" s="12" t="n">
        <f aca="false">C103*D103</f>
        <v>3.2</v>
      </c>
      <c r="G103" s="6"/>
      <c r="H103" s="6" t="str">
        <f aca="false">"Los equipos ocupan "&amp;TEXT(SUM(F104:F105),"0.0")&amp;" m² ("&amp;TEXT(SUM(F104:F105)/F103,"0%")&amp;")"</f>
        <v>Los equipos ocupan 0.8 m² (25%)</v>
      </c>
      <c r="I103" s="6" t="s">
        <v>112</v>
      </c>
      <c r="J103" s="6"/>
    </row>
    <row r="104" customFormat="false" ht="15" hidden="false" customHeight="false" outlineLevel="0" collapsed="false">
      <c r="A104" s="2" t="s">
        <v>596</v>
      </c>
      <c r="B104" s="2" t="n">
        <v>1</v>
      </c>
      <c r="C104" s="7" t="n">
        <v>0.9</v>
      </c>
      <c r="D104" s="7" t="n">
        <v>0.65</v>
      </c>
      <c r="E104" s="16" t="s">
        <v>126</v>
      </c>
      <c r="F104" s="7" t="n">
        <f aca="false">C104*D104</f>
        <v>0.585</v>
      </c>
      <c r="G104" s="2" t="s">
        <v>216</v>
      </c>
      <c r="H104" s="2"/>
      <c r="I104" s="2" t="s">
        <v>112</v>
      </c>
      <c r="J104" s="16"/>
    </row>
    <row r="105" customFormat="false" ht="15" hidden="false" customHeight="false" outlineLevel="0" collapsed="false">
      <c r="A105" s="17" t="s">
        <v>597</v>
      </c>
      <c r="B105" s="17" t="n">
        <v>1</v>
      </c>
      <c r="C105" s="18" t="n">
        <v>0.3</v>
      </c>
      <c r="D105" s="18" t="n">
        <v>0.7</v>
      </c>
      <c r="E105" s="19" t="s">
        <v>126</v>
      </c>
      <c r="F105" s="18" t="n">
        <f aca="false">C105*D105</f>
        <v>0.21</v>
      </c>
      <c r="G105" s="17" t="s">
        <v>546</v>
      </c>
      <c r="H105" s="17" t="s">
        <v>547</v>
      </c>
      <c r="I105" s="17" t="s">
        <v>112</v>
      </c>
      <c r="J105" s="19" t="s">
        <v>548</v>
      </c>
    </row>
    <row r="107" customFormat="false" ht="15" hidden="false" customHeight="false" outlineLevel="0" collapsed="false">
      <c r="A107" s="6" t="s">
        <v>81</v>
      </c>
      <c r="B107" s="6"/>
      <c r="C107" s="12" t="n">
        <v>4</v>
      </c>
      <c r="D107" s="12" t="n">
        <v>1.8</v>
      </c>
      <c r="E107" s="6"/>
      <c r="F107" s="12" t="n">
        <f aca="false">C107*D107</f>
        <v>7.2</v>
      </c>
      <c r="G107" s="6"/>
      <c r="H107" s="6" t="str">
        <f aca="false">"Los equipos ocupan "&amp;TEXT(SUM(F108:F111),"0.0")&amp;" m² ("&amp;TEXT(SUM(F108:F111)/F107,"0%")&amp;")"</f>
        <v>Los equipos ocupan 1.2 m² (17%)</v>
      </c>
      <c r="I107" s="6" t="s">
        <v>112</v>
      </c>
      <c r="J107" s="6"/>
    </row>
    <row r="108" customFormat="false" ht="23.85" hidden="false" customHeight="false" outlineLevel="0" collapsed="false">
      <c r="A108" s="15" t="s">
        <v>598</v>
      </c>
      <c r="B108" s="15"/>
      <c r="C108" s="15"/>
      <c r="D108" s="15"/>
      <c r="E108" s="15"/>
      <c r="F108" s="15"/>
      <c r="G108" s="15"/>
      <c r="H108" s="15" t="s">
        <v>599</v>
      </c>
      <c r="I108" s="15" t="s">
        <v>114</v>
      </c>
      <c r="J108" s="21" t="s">
        <v>561</v>
      </c>
    </row>
    <row r="109" customFormat="false" ht="15" hidden="false" customHeight="false" outlineLevel="0" collapsed="false">
      <c r="A109" s="2" t="s">
        <v>600</v>
      </c>
      <c r="B109" s="2" t="n">
        <v>1</v>
      </c>
      <c r="C109" s="7" t="n">
        <v>1.35</v>
      </c>
      <c r="D109" s="7" t="n">
        <v>0.75</v>
      </c>
      <c r="E109" s="16" t="s">
        <v>126</v>
      </c>
      <c r="F109" s="7" t="n">
        <f aca="false">C109*D109</f>
        <v>1.0125</v>
      </c>
      <c r="G109" s="2" t="s">
        <v>210</v>
      </c>
      <c r="H109" s="2"/>
      <c r="I109" s="2" t="s">
        <v>112</v>
      </c>
      <c r="J109" s="16"/>
    </row>
    <row r="110" customFormat="false" ht="23.85" hidden="false" customHeight="false" outlineLevel="0" collapsed="false">
      <c r="A110" s="15" t="s">
        <v>601</v>
      </c>
      <c r="B110" s="15"/>
      <c r="C110" s="15"/>
      <c r="D110" s="15"/>
      <c r="E110" s="15"/>
      <c r="F110" s="15"/>
      <c r="G110" s="15"/>
      <c r="H110" s="15" t="s">
        <v>602</v>
      </c>
      <c r="I110" s="15" t="s">
        <v>114</v>
      </c>
      <c r="J110" s="21" t="s">
        <v>561</v>
      </c>
    </row>
    <row r="111" customFormat="false" ht="15" hidden="false" customHeight="false" outlineLevel="0" collapsed="false">
      <c r="A111" s="17" t="s">
        <v>603</v>
      </c>
      <c r="B111" s="17" t="n">
        <v>1</v>
      </c>
      <c r="C111" s="18" t="n">
        <v>0.45</v>
      </c>
      <c r="D111" s="18" t="n">
        <v>0.45</v>
      </c>
      <c r="E111" s="19" t="s">
        <v>126</v>
      </c>
      <c r="F111" s="18" t="n">
        <f aca="false">C111*D111</f>
        <v>0.2025</v>
      </c>
      <c r="G111" s="17" t="s">
        <v>216</v>
      </c>
      <c r="H111" s="17"/>
      <c r="I111" s="17" t="s">
        <v>112</v>
      </c>
      <c r="J111" s="19"/>
    </row>
    <row r="113" customFormat="false" ht="15" hidden="false" customHeight="false" outlineLevel="0" collapsed="false">
      <c r="A113" s="6" t="s">
        <v>82</v>
      </c>
      <c r="B113" s="6"/>
      <c r="C113" s="12" t="n">
        <v>4</v>
      </c>
      <c r="D113" s="12" t="n">
        <v>2.7</v>
      </c>
      <c r="E113" s="6"/>
      <c r="F113" s="12" t="n">
        <f aca="false">C113*D113</f>
        <v>10.8</v>
      </c>
      <c r="G113" s="6"/>
      <c r="H113" s="6" t="str">
        <f aca="false">"Los equipos ocupan "&amp;TEXT(SUM(F114:F117),"0.0")&amp;" m² ("&amp;TEXT(SUM(F114:F117)/F113,"0%")&amp;")"</f>
        <v>Los equipos ocupan 3.0 m² (28%)</v>
      </c>
      <c r="I113" s="6" t="s">
        <v>112</v>
      </c>
      <c r="J113" s="6"/>
    </row>
    <row r="114" customFormat="false" ht="15" hidden="false" customHeight="false" outlineLevel="0" collapsed="false">
      <c r="A114" s="2" t="s">
        <v>604</v>
      </c>
      <c r="B114" s="2" t="n">
        <v>1</v>
      </c>
      <c r="C114" s="7" t="n">
        <v>1.25</v>
      </c>
      <c r="D114" s="7" t="n">
        <v>0.95</v>
      </c>
      <c r="E114" s="16" t="s">
        <v>126</v>
      </c>
      <c r="F114" s="7" t="n">
        <f aca="false">C114*D114</f>
        <v>1.1875</v>
      </c>
      <c r="G114" s="2" t="s">
        <v>210</v>
      </c>
      <c r="H114" s="2"/>
      <c r="I114" s="2" t="s">
        <v>112</v>
      </c>
      <c r="J114" s="16" t="s">
        <v>369</v>
      </c>
    </row>
    <row r="115" customFormat="false" ht="15" hidden="false" customHeight="false" outlineLevel="0" collapsed="false">
      <c r="A115" s="2" t="s">
        <v>605</v>
      </c>
      <c r="B115" s="2" t="n">
        <v>1</v>
      </c>
      <c r="C115" s="7" t="n">
        <v>1.25</v>
      </c>
      <c r="D115" s="7" t="n">
        <v>0.95</v>
      </c>
      <c r="E115" s="16" t="s">
        <v>126</v>
      </c>
      <c r="F115" s="7" t="n">
        <f aca="false">C115*D115</f>
        <v>1.1875</v>
      </c>
      <c r="G115" s="2" t="s">
        <v>210</v>
      </c>
      <c r="H115" s="2"/>
      <c r="I115" s="2" t="s">
        <v>112</v>
      </c>
      <c r="J115" s="16" t="s">
        <v>369</v>
      </c>
    </row>
    <row r="116" customFormat="false" ht="15" hidden="false" customHeight="false" outlineLevel="0" collapsed="false">
      <c r="A116" s="2" t="s">
        <v>606</v>
      </c>
      <c r="B116" s="2" t="n">
        <v>1</v>
      </c>
      <c r="C116" s="7" t="n">
        <v>0.7</v>
      </c>
      <c r="D116" s="7" t="n">
        <v>0.45</v>
      </c>
      <c r="E116" s="16" t="s">
        <v>126</v>
      </c>
      <c r="F116" s="7" t="n">
        <f aca="false">C116*D116</f>
        <v>0.315</v>
      </c>
      <c r="G116" s="2" t="s">
        <v>216</v>
      </c>
      <c r="H116" s="2"/>
      <c r="I116" s="2" t="s">
        <v>112</v>
      </c>
      <c r="J116" s="16"/>
    </row>
    <row r="117" customFormat="false" ht="15" hidden="false" customHeight="false" outlineLevel="0" collapsed="false">
      <c r="A117" s="17" t="s">
        <v>607</v>
      </c>
      <c r="B117" s="17" t="n">
        <v>1</v>
      </c>
      <c r="C117" s="18" t="n">
        <v>0.7</v>
      </c>
      <c r="D117" s="18" t="n">
        <v>0.45</v>
      </c>
      <c r="E117" s="19" t="s">
        <v>126</v>
      </c>
      <c r="F117" s="18" t="n">
        <f aca="false">C117*D117</f>
        <v>0.315</v>
      </c>
      <c r="G117" s="17" t="s">
        <v>216</v>
      </c>
      <c r="H117" s="17"/>
      <c r="I117" s="17" t="s">
        <v>112</v>
      </c>
      <c r="J117" s="19"/>
    </row>
    <row r="119" customFormat="false" ht="15" hidden="false" customHeight="false" outlineLevel="0" collapsed="false">
      <c r="A119" s="6" t="s">
        <v>83</v>
      </c>
      <c r="B119" s="6"/>
      <c r="C119" s="12" t="n">
        <v>4</v>
      </c>
      <c r="D119" s="12" t="n">
        <v>1.8</v>
      </c>
      <c r="E119" s="6"/>
      <c r="F119" s="12" t="n">
        <f aca="false">C119*D119</f>
        <v>7.2</v>
      </c>
      <c r="G119" s="6"/>
      <c r="H119" s="6" t="str">
        <f aca="false">"Los equipos ocupan "&amp;TEXT(SUM(F120:F122),"0.0")&amp;" m² ("&amp;TEXT(SUM(F120:F122)/F119,"0%")&amp;")"</f>
        <v>Los equipos ocupan 1.9 m² (26%)</v>
      </c>
      <c r="I119" s="6" t="s">
        <v>112</v>
      </c>
      <c r="J119" s="6"/>
    </row>
    <row r="120" customFormat="false" ht="15" hidden="false" customHeight="false" outlineLevel="0" collapsed="false">
      <c r="A120" s="2" t="s">
        <v>608</v>
      </c>
      <c r="B120" s="2" t="n">
        <v>1</v>
      </c>
      <c r="C120" s="7" t="n">
        <v>0.95</v>
      </c>
      <c r="D120" s="7" t="n">
        <v>0.6</v>
      </c>
      <c r="E120" s="16" t="s">
        <v>126</v>
      </c>
      <c r="F120" s="7" t="n">
        <f aca="false">C120*D120</f>
        <v>0.57</v>
      </c>
      <c r="G120" s="2" t="s">
        <v>210</v>
      </c>
      <c r="H120" s="2"/>
      <c r="I120" s="2" t="s">
        <v>112</v>
      </c>
      <c r="J120" s="16"/>
    </row>
    <row r="121" customFormat="false" ht="15" hidden="false" customHeight="false" outlineLevel="0" collapsed="false">
      <c r="A121" s="2" t="s">
        <v>609</v>
      </c>
      <c r="B121" s="2" t="n">
        <v>1</v>
      </c>
      <c r="C121" s="7" t="n">
        <v>0.95</v>
      </c>
      <c r="D121" s="7" t="n">
        <v>0.6</v>
      </c>
      <c r="E121" s="16" t="s">
        <v>126</v>
      </c>
      <c r="F121" s="7" t="n">
        <f aca="false">C121*D121</f>
        <v>0.57</v>
      </c>
      <c r="G121" s="2" t="s">
        <v>216</v>
      </c>
      <c r="H121" s="2"/>
      <c r="I121" s="2" t="s">
        <v>112</v>
      </c>
      <c r="J121" s="16"/>
    </row>
    <row r="122" customFormat="false" ht="23.85" hidden="false" customHeight="false" outlineLevel="0" collapsed="false">
      <c r="A122" s="17" t="s">
        <v>610</v>
      </c>
      <c r="B122" s="17" t="n">
        <v>1</v>
      </c>
      <c r="C122" s="18" t="n">
        <v>0.95</v>
      </c>
      <c r="D122" s="18" t="n">
        <v>0.75</v>
      </c>
      <c r="E122" s="19" t="s">
        <v>126</v>
      </c>
      <c r="F122" s="18" t="n">
        <f aca="false">C122*D122</f>
        <v>0.7125</v>
      </c>
      <c r="G122" s="17" t="s">
        <v>213</v>
      </c>
      <c r="H122" s="17" t="s">
        <v>506</v>
      </c>
      <c r="I122" s="17" t="s">
        <v>112</v>
      </c>
      <c r="J122" s="19" t="s">
        <v>611</v>
      </c>
    </row>
    <row r="124" customFormat="false" ht="15" hidden="false" customHeight="false" outlineLevel="0" collapsed="false">
      <c r="A124" s="6" t="s">
        <v>84</v>
      </c>
      <c r="B124" s="6"/>
      <c r="C124" s="12" t="n">
        <v>3.2</v>
      </c>
      <c r="D124" s="12" t="n">
        <v>2.5</v>
      </c>
      <c r="E124" s="6"/>
      <c r="F124" s="12" t="n">
        <f aca="false">C124*D124</f>
        <v>8</v>
      </c>
      <c r="G124" s="6"/>
      <c r="H124" s="6" t="str">
        <f aca="false">"Los equipos ocupan "&amp;TEXT(SUM(F125:F129),"0.0")&amp;" m² ("&amp;TEXT(SUM(F125:F129)/F124,"0%")&amp;")"</f>
        <v>Los equipos ocupan 1.4 m² (18%)</v>
      </c>
      <c r="I124" s="6" t="s">
        <v>112</v>
      </c>
      <c r="J124" s="6"/>
    </row>
    <row r="125" customFormat="false" ht="15" hidden="false" customHeight="false" outlineLevel="0" collapsed="false">
      <c r="A125" s="2" t="s">
        <v>612</v>
      </c>
      <c r="B125" s="2" t="n">
        <v>1</v>
      </c>
      <c r="C125" s="7" t="n">
        <v>0.7</v>
      </c>
      <c r="D125" s="7" t="n">
        <v>0.6</v>
      </c>
      <c r="E125" s="16" t="s">
        <v>126</v>
      </c>
      <c r="F125" s="7" t="n">
        <f aca="false">C125*D125</f>
        <v>0.42</v>
      </c>
      <c r="G125" s="2" t="s">
        <v>213</v>
      </c>
      <c r="H125" s="2"/>
      <c r="I125" s="2" t="s">
        <v>112</v>
      </c>
      <c r="J125" s="16"/>
    </row>
    <row r="126" customFormat="false" ht="15" hidden="false" customHeight="false" outlineLevel="0" collapsed="false">
      <c r="A126" s="2" t="s">
        <v>450</v>
      </c>
      <c r="B126" s="2" t="n">
        <v>1</v>
      </c>
      <c r="C126" s="7" t="n">
        <v>0.7</v>
      </c>
      <c r="D126" s="7" t="n">
        <v>0.65</v>
      </c>
      <c r="E126" s="16" t="s">
        <v>126</v>
      </c>
      <c r="F126" s="7" t="n">
        <f aca="false">C126*D126</f>
        <v>0.455</v>
      </c>
      <c r="G126" s="2" t="s">
        <v>213</v>
      </c>
      <c r="H126" s="2"/>
      <c r="I126" s="2" t="s">
        <v>112</v>
      </c>
      <c r="J126" s="16"/>
    </row>
    <row r="127" customFormat="false" ht="15" hidden="false" customHeight="false" outlineLevel="0" collapsed="false">
      <c r="A127" s="2" t="s">
        <v>613</v>
      </c>
      <c r="B127" s="2" t="n">
        <v>1</v>
      </c>
      <c r="C127" s="7" t="n">
        <v>0.45</v>
      </c>
      <c r="D127" s="7" t="n">
        <v>0.4</v>
      </c>
      <c r="E127" s="16" t="s">
        <v>126</v>
      </c>
      <c r="F127" s="7" t="n">
        <f aca="false">C127*D127</f>
        <v>0.18</v>
      </c>
      <c r="G127" s="2" t="s">
        <v>299</v>
      </c>
      <c r="H127" s="2"/>
      <c r="I127" s="2" t="s">
        <v>112</v>
      </c>
      <c r="J127" s="16"/>
    </row>
    <row r="128" customFormat="false" ht="15" hidden="false" customHeight="false" outlineLevel="0" collapsed="false">
      <c r="A128" s="2" t="s">
        <v>614</v>
      </c>
      <c r="B128" s="2" t="n">
        <v>1</v>
      </c>
      <c r="C128" s="7" t="n">
        <v>0.45</v>
      </c>
      <c r="D128" s="7" t="n">
        <v>0.4</v>
      </c>
      <c r="E128" s="16" t="s">
        <v>126</v>
      </c>
      <c r="F128" s="7" t="n">
        <f aca="false">C128*D128</f>
        <v>0.18</v>
      </c>
      <c r="G128" s="2" t="s">
        <v>299</v>
      </c>
      <c r="H128" s="2"/>
      <c r="I128" s="2" t="s">
        <v>112</v>
      </c>
      <c r="J128" s="16"/>
    </row>
    <row r="129" customFormat="false" ht="15" hidden="false" customHeight="false" outlineLevel="0" collapsed="false">
      <c r="A129" s="17" t="s">
        <v>615</v>
      </c>
      <c r="B129" s="17" t="n">
        <v>1</v>
      </c>
      <c r="C129" s="18" t="n">
        <v>0.45</v>
      </c>
      <c r="D129" s="18" t="n">
        <v>0.4</v>
      </c>
      <c r="E129" s="19" t="s">
        <v>126</v>
      </c>
      <c r="F129" s="18" t="n">
        <f aca="false">C129*D129</f>
        <v>0.18</v>
      </c>
      <c r="G129" s="17" t="s">
        <v>299</v>
      </c>
      <c r="H129" s="17"/>
      <c r="I129" s="17" t="s">
        <v>112</v>
      </c>
      <c r="J129" s="19"/>
    </row>
    <row r="131" customFormat="false" ht="15" hidden="false" customHeight="false" outlineLevel="0" collapsed="false">
      <c r="A131" s="6" t="s">
        <v>85</v>
      </c>
      <c r="B131" s="6"/>
      <c r="C131" s="12" t="n">
        <v>4</v>
      </c>
      <c r="D131" s="12" t="n">
        <v>4.5</v>
      </c>
      <c r="E131" s="6"/>
      <c r="F131" s="12" t="n">
        <v>16.72</v>
      </c>
      <c r="G131" s="6"/>
      <c r="H131" s="6" t="str">
        <f aca="false">"Los equipos ocupan "&amp;TEXT(SUM(F132:F133),"0.0")&amp;" m² ("&amp;TEXT(SUM(F132:F133)/F131,"0%")&amp;")"</f>
        <v>Los equipos ocupan 1.5 m² (9%)</v>
      </c>
      <c r="I131" s="6" t="s">
        <v>112</v>
      </c>
      <c r="J131" s="6"/>
    </row>
    <row r="132" customFormat="false" ht="23.85" hidden="false" customHeight="false" outlineLevel="0" collapsed="false">
      <c r="A132" s="2" t="s">
        <v>616</v>
      </c>
      <c r="B132" s="2" t="n">
        <v>1</v>
      </c>
      <c r="C132" s="7" t="n">
        <v>1</v>
      </c>
      <c r="D132" s="7" t="n">
        <v>0.75</v>
      </c>
      <c r="E132" s="16" t="s">
        <v>126</v>
      </c>
      <c r="F132" s="7" t="n">
        <f aca="false">C132*D132</f>
        <v>0.75</v>
      </c>
      <c r="G132" s="2" t="s">
        <v>312</v>
      </c>
      <c r="H132" s="2" t="s">
        <v>506</v>
      </c>
      <c r="I132" s="2" t="s">
        <v>112</v>
      </c>
      <c r="J132" s="16" t="s">
        <v>617</v>
      </c>
    </row>
    <row r="133" customFormat="false" ht="23.85" hidden="false" customHeight="false" outlineLevel="0" collapsed="false">
      <c r="A133" s="17" t="s">
        <v>618</v>
      </c>
      <c r="B133" s="17" t="n">
        <v>1</v>
      </c>
      <c r="C133" s="18" t="n">
        <v>1</v>
      </c>
      <c r="D133" s="18" t="n">
        <v>0.75</v>
      </c>
      <c r="E133" s="19" t="s">
        <v>126</v>
      </c>
      <c r="F133" s="18" t="n">
        <f aca="false">C133*D133</f>
        <v>0.75</v>
      </c>
      <c r="G133" s="17" t="s">
        <v>262</v>
      </c>
      <c r="H133" s="17" t="s">
        <v>506</v>
      </c>
      <c r="I133" s="17" t="s">
        <v>112</v>
      </c>
      <c r="J133" s="19" t="s">
        <v>617</v>
      </c>
    </row>
    <row r="135" customFormat="false" ht="15" hidden="false" customHeight="false" outlineLevel="0" collapsed="false">
      <c r="A135" s="6" t="s">
        <v>86</v>
      </c>
      <c r="B135" s="6"/>
      <c r="C135" s="12" t="n">
        <v>2</v>
      </c>
      <c r="D135" s="12" t="n">
        <v>0.95</v>
      </c>
      <c r="E135" s="6"/>
      <c r="F135" s="12" t="n">
        <f aca="false">C135*D135</f>
        <v>1.9</v>
      </c>
      <c r="G135" s="6"/>
      <c r="H135" s="6" t="str">
        <f aca="false">"Los equipos ocupan "&amp;TEXT(SUM(F136:F137),"0.0")&amp;" m² ("&amp;TEXT(SUM(F136:F137)/F135,"0%")&amp;")"</f>
        <v>Los equipos ocupan 0.9 m² (48%)</v>
      </c>
      <c r="I135" s="6" t="s">
        <v>112</v>
      </c>
      <c r="J135" s="6"/>
    </row>
    <row r="136" customFormat="false" ht="15" hidden="false" customHeight="false" outlineLevel="0" collapsed="false">
      <c r="A136" s="2" t="s">
        <v>619</v>
      </c>
      <c r="B136" s="2" t="n">
        <v>1</v>
      </c>
      <c r="C136" s="7" t="n">
        <v>0.8</v>
      </c>
      <c r="D136" s="7" t="n">
        <v>0.55</v>
      </c>
      <c r="E136" s="16" t="s">
        <v>126</v>
      </c>
      <c r="F136" s="7" t="n">
        <f aca="false">C136*D136</f>
        <v>0.44</v>
      </c>
      <c r="G136" s="2" t="s">
        <v>210</v>
      </c>
      <c r="H136" s="2"/>
      <c r="I136" s="2" t="s">
        <v>112</v>
      </c>
      <c r="J136" s="16" t="s">
        <v>620</v>
      </c>
    </row>
    <row r="137" customFormat="false" ht="15" hidden="false" customHeight="false" outlineLevel="0" collapsed="false">
      <c r="A137" s="17" t="s">
        <v>621</v>
      </c>
      <c r="B137" s="17" t="n">
        <v>1</v>
      </c>
      <c r="C137" s="18" t="n">
        <v>0.85</v>
      </c>
      <c r="D137" s="18" t="n">
        <v>0.55</v>
      </c>
      <c r="E137" s="19" t="s">
        <v>126</v>
      </c>
      <c r="F137" s="18" t="n">
        <f aca="false">C137*D137</f>
        <v>0.4675</v>
      </c>
      <c r="G137" s="17" t="s">
        <v>213</v>
      </c>
      <c r="H137" s="17" t="s">
        <v>622</v>
      </c>
      <c r="I137" s="17" t="s">
        <v>112</v>
      </c>
      <c r="J137" s="19" t="s">
        <v>620</v>
      </c>
    </row>
    <row r="139" customFormat="false" ht="15" hidden="false" customHeight="false" outlineLevel="0" collapsed="false">
      <c r="A139" s="6" t="s">
        <v>87</v>
      </c>
      <c r="B139" s="6"/>
      <c r="C139" s="12" t="n">
        <v>2</v>
      </c>
      <c r="D139" s="12" t="n">
        <v>2.2</v>
      </c>
      <c r="E139" s="6"/>
      <c r="F139" s="12" t="n">
        <f aca="false">C139*D139</f>
        <v>4.4</v>
      </c>
      <c r="G139" s="6"/>
      <c r="H139" s="6" t="str">
        <f aca="false">"Los equipos ocupan "&amp;TEXT(SUM(F140:F141),"0.0")&amp;" m² ("&amp;TEXT(SUM(F140:F141)/F139,"0%")&amp;")"</f>
        <v>Los equipos ocupan 1.7 m² (38%)</v>
      </c>
      <c r="I139" s="6" t="s">
        <v>112</v>
      </c>
      <c r="J139" s="6"/>
    </row>
    <row r="140" customFormat="false" ht="15" hidden="false" customHeight="false" outlineLevel="0" collapsed="false">
      <c r="A140" s="2" t="s">
        <v>623</v>
      </c>
      <c r="B140" s="2" t="n">
        <v>1</v>
      </c>
      <c r="C140" s="7" t="n">
        <v>1.1</v>
      </c>
      <c r="D140" s="7" t="n">
        <v>1.05</v>
      </c>
      <c r="E140" s="16" t="s">
        <v>126</v>
      </c>
      <c r="F140" s="7" t="n">
        <f aca="false">C140*D140</f>
        <v>1.155</v>
      </c>
      <c r="G140" s="2" t="s">
        <v>210</v>
      </c>
      <c r="H140" s="2"/>
      <c r="I140" s="2" t="s">
        <v>112</v>
      </c>
      <c r="J140" s="16"/>
    </row>
    <row r="141" customFormat="false" ht="15" hidden="false" customHeight="false" outlineLevel="0" collapsed="false">
      <c r="A141" s="17" t="s">
        <v>624</v>
      </c>
      <c r="B141" s="17" t="n">
        <v>1</v>
      </c>
      <c r="C141" s="18" t="n">
        <v>0.5</v>
      </c>
      <c r="D141" s="18" t="n">
        <v>1.05</v>
      </c>
      <c r="E141" s="19" t="s">
        <v>126</v>
      </c>
      <c r="F141" s="18" t="n">
        <f aca="false">C141*D141</f>
        <v>0.525</v>
      </c>
      <c r="G141" s="17" t="s">
        <v>213</v>
      </c>
      <c r="H141" s="17"/>
      <c r="I141" s="17" t="s">
        <v>112</v>
      </c>
      <c r="J141" s="19"/>
    </row>
    <row r="143" customFormat="false" ht="15" hidden="false" customHeight="false" outlineLevel="0" collapsed="false">
      <c r="A143" s="6" t="s">
        <v>88</v>
      </c>
      <c r="B143" s="6"/>
      <c r="C143" s="12" t="n">
        <v>2</v>
      </c>
      <c r="D143" s="12" t="n">
        <v>1.95</v>
      </c>
      <c r="E143" s="6"/>
      <c r="F143" s="12" t="n">
        <f aca="false">C143*D143</f>
        <v>3.9</v>
      </c>
      <c r="G143" s="6"/>
      <c r="H143" s="6" t="str">
        <f aca="false">"Los equipos ocupan "&amp;TEXT(SUM(F144:F144),"0.0")&amp;" m² ("&amp;TEXT(SUM(F144:F144)/F143,"0%")&amp;")"</f>
        <v>Los equipos ocupan 1.1 m² (28%)</v>
      </c>
      <c r="I143" s="6" t="s">
        <v>112</v>
      </c>
      <c r="J143" s="6"/>
    </row>
    <row r="144" customFormat="false" ht="15" hidden="false" customHeight="false" outlineLevel="0" collapsed="false">
      <c r="A144" s="17" t="s">
        <v>625</v>
      </c>
      <c r="B144" s="17" t="n">
        <v>1</v>
      </c>
      <c r="C144" s="18" t="n">
        <v>0.95</v>
      </c>
      <c r="D144" s="18" t="n">
        <v>1.15</v>
      </c>
      <c r="E144" s="19" t="s">
        <v>126</v>
      </c>
      <c r="F144" s="18" t="n">
        <f aca="false">C144*D144</f>
        <v>1.0925</v>
      </c>
      <c r="G144" s="17" t="s">
        <v>213</v>
      </c>
      <c r="H144" s="17"/>
      <c r="I144" s="17" t="s">
        <v>112</v>
      </c>
      <c r="J144" s="19"/>
    </row>
    <row r="146" customFormat="false" ht="15" hidden="false" customHeight="false" outlineLevel="0" collapsed="false">
      <c r="A146" s="6" t="s">
        <v>89</v>
      </c>
      <c r="B146" s="6"/>
      <c r="C146" s="12" t="n">
        <v>8.5</v>
      </c>
      <c r="D146" s="12" t="n">
        <v>2.5</v>
      </c>
      <c r="E146" s="6"/>
      <c r="F146" s="12" t="n">
        <f aca="false">C146*D146</f>
        <v>21.25</v>
      </c>
      <c r="G146" s="6"/>
      <c r="H146" s="6" t="str">
        <f aca="false">"Los equipos ocupan "&amp;TEXT(SUM(F147:F147),"0.0")&amp;" m² ("&amp;TEXT(SUM(F147:F147)/F146,"0%")&amp;")"</f>
        <v>Los equipos ocupan 20.0 m² (94%)</v>
      </c>
      <c r="I146" s="6" t="s">
        <v>112</v>
      </c>
      <c r="J146" s="6"/>
    </row>
    <row r="147" customFormat="false" ht="23.85" hidden="false" customHeight="false" outlineLevel="0" collapsed="false">
      <c r="A147" s="17" t="s">
        <v>626</v>
      </c>
      <c r="B147" s="17" t="n">
        <v>16</v>
      </c>
      <c r="C147" s="18" t="n">
        <v>8.35</v>
      </c>
      <c r="D147" s="18" t="n">
        <v>2.4</v>
      </c>
      <c r="E147" s="19" t="s">
        <v>126</v>
      </c>
      <c r="F147" s="18" t="n">
        <f aca="false">C147*D147</f>
        <v>20.04</v>
      </c>
      <c r="G147" s="17" t="s">
        <v>627</v>
      </c>
      <c r="H147" s="17" t="s">
        <v>628</v>
      </c>
      <c r="I147" s="17" t="s">
        <v>629</v>
      </c>
      <c r="J147" s="19" t="s">
        <v>630</v>
      </c>
    </row>
    <row r="149" customFormat="false" ht="15" hidden="false" customHeight="false" outlineLevel="0" collapsed="false">
      <c r="A149" s="6" t="s">
        <v>90</v>
      </c>
      <c r="B149" s="6"/>
      <c r="C149" s="12" t="n">
        <v>8.5</v>
      </c>
      <c r="D149" s="12" t="n">
        <v>2.5</v>
      </c>
      <c r="E149" s="6"/>
      <c r="F149" s="12" t="n">
        <f aca="false">C149*D149</f>
        <v>21.25</v>
      </c>
      <c r="G149" s="6"/>
      <c r="H149" s="6" t="str">
        <f aca="false">"Los equipos ocupan "&amp;TEXT(SUM(F150:F150),"0.0")&amp;" m² ("&amp;TEXT(SUM(F150:F150)/F149,"0%")&amp;")"</f>
        <v>Los equipos ocupan 20.0 m² (94%)</v>
      </c>
      <c r="I149" s="6" t="s">
        <v>112</v>
      </c>
      <c r="J149" s="6"/>
    </row>
    <row r="150" customFormat="false" ht="23.85" hidden="false" customHeight="false" outlineLevel="0" collapsed="false">
      <c r="A150" s="17" t="s">
        <v>631</v>
      </c>
      <c r="B150" s="17" t="n">
        <v>16</v>
      </c>
      <c r="C150" s="18" t="n">
        <v>8.35</v>
      </c>
      <c r="D150" s="18" t="n">
        <v>2.4</v>
      </c>
      <c r="E150" s="19" t="s">
        <v>126</v>
      </c>
      <c r="F150" s="18" t="n">
        <f aca="false">C150*D150</f>
        <v>20.04</v>
      </c>
      <c r="G150" s="17" t="s">
        <v>627</v>
      </c>
      <c r="H150" s="17" t="s">
        <v>628</v>
      </c>
      <c r="I150" s="17" t="s">
        <v>629</v>
      </c>
      <c r="J150" s="19" t="s">
        <v>630</v>
      </c>
    </row>
    <row r="152" customFormat="false" ht="15" hidden="false" customHeight="false" outlineLevel="0" collapsed="false">
      <c r="A152" s="6" t="s">
        <v>91</v>
      </c>
      <c r="B152" s="6"/>
      <c r="C152" s="12" t="n">
        <v>1.1</v>
      </c>
      <c r="D152" s="12" t="n">
        <v>2.5</v>
      </c>
      <c r="E152" s="6"/>
      <c r="F152" s="12" t="n">
        <f aca="false">C152*D152</f>
        <v>2.75</v>
      </c>
      <c r="G152" s="6"/>
      <c r="H152" s="6" t="str">
        <f aca="false">"Los equipos ocupan "&amp;TEXT(SUM(F153:F153),"0.0")&amp;" m² ("&amp;TEXT(SUM(F153:F153)/F152,"0%")&amp;")"</f>
        <v>Los equipos ocupan 2.4 m² (87%)</v>
      </c>
      <c r="I152" s="6" t="s">
        <v>112</v>
      </c>
      <c r="J152" s="6"/>
    </row>
    <row r="153" customFormat="false" ht="23.85" hidden="false" customHeight="false" outlineLevel="0" collapsed="false">
      <c r="A153" s="17" t="s">
        <v>632</v>
      </c>
      <c r="B153" s="17" t="n">
        <v>2</v>
      </c>
      <c r="C153" s="18" t="n">
        <v>1</v>
      </c>
      <c r="D153" s="18" t="n">
        <v>2.4</v>
      </c>
      <c r="E153" s="19" t="s">
        <v>126</v>
      </c>
      <c r="F153" s="18" t="n">
        <f aca="false">C153*D153</f>
        <v>2.4</v>
      </c>
      <c r="G153" s="17" t="s">
        <v>627</v>
      </c>
      <c r="H153" s="17" t="s">
        <v>633</v>
      </c>
      <c r="I153" s="17" t="s">
        <v>112</v>
      </c>
      <c r="J153" s="19"/>
    </row>
    <row r="155" customFormat="false" ht="15" hidden="false" customHeight="false" outlineLevel="0" collapsed="false">
      <c r="A155" s="6" t="s">
        <v>92</v>
      </c>
      <c r="B155" s="6"/>
      <c r="C155" s="12" t="n">
        <v>1.5</v>
      </c>
      <c r="D155" s="12" t="n">
        <v>2.5</v>
      </c>
      <c r="E155" s="6"/>
      <c r="F155" s="12" t="n">
        <f aca="false">C155*D155</f>
        <v>3.75</v>
      </c>
      <c r="G155" s="6"/>
      <c r="H155" s="6" t="str">
        <f aca="false">"Los equipos ocupan "&amp;TEXT(SUM(F156:F158),"0.0")&amp;" m² ("&amp;TEXT(SUM(F156:F158)/F155,"0%")&amp;")"</f>
        <v>Los equipos ocupan 2.8 m² (74%)</v>
      </c>
      <c r="I155" s="6" t="s">
        <v>112</v>
      </c>
      <c r="J155" s="6"/>
    </row>
    <row r="156" customFormat="false" ht="15" hidden="false" customHeight="false" outlineLevel="0" collapsed="false">
      <c r="A156" s="2" t="s">
        <v>634</v>
      </c>
      <c r="B156" s="2" t="n">
        <v>1</v>
      </c>
      <c r="C156" s="7" t="n">
        <v>0.8</v>
      </c>
      <c r="D156" s="7" t="n">
        <v>1.9</v>
      </c>
      <c r="E156" s="16" t="s">
        <v>126</v>
      </c>
      <c r="F156" s="7" t="n">
        <f aca="false">C156*D156</f>
        <v>1.52</v>
      </c>
      <c r="G156" s="2" t="s">
        <v>210</v>
      </c>
      <c r="H156" s="2"/>
      <c r="I156" s="2" t="s">
        <v>112</v>
      </c>
      <c r="J156" s="16"/>
    </row>
    <row r="157" customFormat="false" ht="15" hidden="false" customHeight="false" outlineLevel="0" collapsed="false">
      <c r="A157" s="2" t="s">
        <v>635</v>
      </c>
      <c r="B157" s="2" t="n">
        <v>1</v>
      </c>
      <c r="C157" s="7" t="n">
        <v>0.55</v>
      </c>
      <c r="D157" s="7" t="n">
        <v>1.55</v>
      </c>
      <c r="E157" s="16" t="s">
        <v>126</v>
      </c>
      <c r="F157" s="7" t="n">
        <f aca="false">C157*D157</f>
        <v>0.8525</v>
      </c>
      <c r="G157" s="2" t="s">
        <v>213</v>
      </c>
      <c r="H157" s="2"/>
      <c r="I157" s="2" t="s">
        <v>112</v>
      </c>
      <c r="J157" s="16"/>
    </row>
    <row r="158" customFormat="false" ht="15" hidden="false" customHeight="false" outlineLevel="0" collapsed="false">
      <c r="A158" s="17" t="s">
        <v>636</v>
      </c>
      <c r="B158" s="17" t="n">
        <v>1</v>
      </c>
      <c r="C158" s="18" t="n">
        <v>0.55</v>
      </c>
      <c r="D158" s="18" t="n">
        <v>0.72</v>
      </c>
      <c r="E158" s="19" t="s">
        <v>126</v>
      </c>
      <c r="F158" s="18" t="n">
        <f aca="false">C158*D158</f>
        <v>0.396</v>
      </c>
      <c r="G158" s="17" t="s">
        <v>200</v>
      </c>
      <c r="H158" s="17"/>
      <c r="I158" s="17" t="s">
        <v>112</v>
      </c>
      <c r="J158" s="1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34"/>
    <col collapsed="false" customWidth="true" hidden="false" outlineLevel="0" max="3" min="3" style="0" width="22"/>
    <col collapsed="false" customWidth="true" hidden="false" outlineLevel="0" max="4" min="4" style="0" width="13"/>
    <col collapsed="false" customWidth="true" hidden="false" outlineLevel="0" max="5" min="5" style="0" width="36"/>
    <col collapsed="false" customWidth="true" hidden="false" outlineLevel="0" max="8" min="6" style="0" width="13"/>
    <col collapsed="false" customWidth="true" hidden="false" outlineLevel="0" max="9" min="9" style="0" width="40"/>
    <col collapsed="false" customWidth="true" hidden="false" outlineLevel="0" max="12" min="10" style="0" width="13"/>
    <col collapsed="false" customWidth="true" hidden="false" outlineLevel="0" max="13" min="13" style="0" width="46"/>
  </cols>
  <sheetData>
    <row r="1" customFormat="false" ht="16.15" hidden="false" customHeight="false" outlineLevel="0" collapsed="false">
      <c r="A1" s="4" t="s">
        <v>637</v>
      </c>
    </row>
    <row r="2" customFormat="false" ht="30" hidden="false" customHeight="true" outlineLevel="0" collapsed="false">
      <c r="A2" s="22" t="s">
        <v>638</v>
      </c>
      <c r="B2" s="22"/>
      <c r="C2" s="22"/>
      <c r="D2" s="22"/>
      <c r="E2" s="22"/>
      <c r="F2" s="22"/>
      <c r="G2" s="22"/>
      <c r="H2" s="22"/>
      <c r="I2" s="22"/>
      <c r="J2" s="22"/>
      <c r="K2" s="22"/>
      <c r="L2" s="22"/>
      <c r="M2" s="22"/>
    </row>
    <row r="4" customFormat="false" ht="23.85" hidden="false" customHeight="false" outlineLevel="0" collapsed="false">
      <c r="A4" s="5" t="s">
        <v>639</v>
      </c>
      <c r="B4" s="5" t="s">
        <v>640</v>
      </c>
      <c r="C4" s="5" t="s">
        <v>641</v>
      </c>
      <c r="D4" s="5" t="s">
        <v>642</v>
      </c>
      <c r="E4" s="5" t="s">
        <v>643</v>
      </c>
      <c r="F4" s="5" t="s">
        <v>644</v>
      </c>
      <c r="G4" s="5" t="s">
        <v>645</v>
      </c>
      <c r="H4" s="5" t="s">
        <v>646</v>
      </c>
      <c r="I4" s="5" t="s">
        <v>647</v>
      </c>
      <c r="J4" s="5" t="s">
        <v>648</v>
      </c>
      <c r="K4" s="5" t="s">
        <v>649</v>
      </c>
      <c r="L4" s="5" t="s">
        <v>650</v>
      </c>
      <c r="M4" s="5" t="s">
        <v>651</v>
      </c>
    </row>
    <row r="5" customFormat="false" ht="15" hidden="false" customHeight="false" outlineLevel="0" collapsed="false">
      <c r="A5" s="6" t="s">
        <v>22</v>
      </c>
      <c r="B5" s="6"/>
      <c r="C5" s="6"/>
      <c r="D5" s="6"/>
      <c r="E5" s="6"/>
      <c r="F5" s="6"/>
      <c r="G5" s="6"/>
      <c r="H5" s="6"/>
      <c r="I5" s="6"/>
      <c r="J5" s="6"/>
      <c r="K5" s="6"/>
      <c r="L5" s="6"/>
      <c r="M5" s="6"/>
    </row>
    <row r="6" customFormat="false" ht="35.05" hidden="false" customHeight="false" outlineLevel="0" collapsed="false">
      <c r="A6" s="2" t="s">
        <v>652</v>
      </c>
      <c r="B6" s="2" t="s">
        <v>653</v>
      </c>
      <c r="C6" s="2" t="s">
        <v>654</v>
      </c>
      <c r="D6" s="23" t="n">
        <v>90</v>
      </c>
      <c r="E6" s="2" t="s">
        <v>655</v>
      </c>
      <c r="F6" s="23" t="n">
        <v>0</v>
      </c>
      <c r="G6" s="23" t="n">
        <v>0</v>
      </c>
      <c r="H6" s="23" t="n">
        <v>0</v>
      </c>
      <c r="I6" s="2" t="s">
        <v>656</v>
      </c>
      <c r="J6" s="7" t="n">
        <v>0</v>
      </c>
      <c r="K6" s="23" t="n">
        <v>0</v>
      </c>
      <c r="L6" s="7" t="n">
        <f aca="false">K6*1</f>
        <v>0</v>
      </c>
      <c r="M6" s="2"/>
    </row>
    <row r="7" customFormat="false" ht="35.05" hidden="false" customHeight="false" outlineLevel="0" collapsed="false">
      <c r="A7" s="2" t="s">
        <v>657</v>
      </c>
      <c r="B7" s="2" t="s">
        <v>658</v>
      </c>
      <c r="C7" s="2" t="s">
        <v>659</v>
      </c>
      <c r="D7" s="23" t="n">
        <v>1505</v>
      </c>
      <c r="E7" s="2" t="s">
        <v>660</v>
      </c>
      <c r="F7" s="23" t="n">
        <v>15</v>
      </c>
      <c r="G7" s="23" t="n">
        <v>3</v>
      </c>
      <c r="H7" s="23" t="n">
        <v>1</v>
      </c>
      <c r="I7" s="2" t="s">
        <v>661</v>
      </c>
      <c r="J7" s="7" t="n">
        <v>5.32</v>
      </c>
      <c r="K7" s="23" t="n">
        <v>1</v>
      </c>
      <c r="L7" s="7" t="n">
        <f aca="false">G7*1.44+IF(K7&gt;0,1,0)</f>
        <v>5.32</v>
      </c>
      <c r="M7" s="2"/>
    </row>
    <row r="8" customFormat="false" ht="23.85" hidden="false" customHeight="false" outlineLevel="0" collapsed="false">
      <c r="A8" s="2" t="s">
        <v>662</v>
      </c>
      <c r="B8" s="2" t="s">
        <v>663</v>
      </c>
      <c r="C8" s="2" t="s">
        <v>664</v>
      </c>
      <c r="D8" s="23" t="n">
        <v>607</v>
      </c>
      <c r="E8" s="2" t="s">
        <v>665</v>
      </c>
      <c r="F8" s="23" t="n">
        <v>20</v>
      </c>
      <c r="G8" s="23" t="n">
        <v>7</v>
      </c>
      <c r="H8" s="23" t="n">
        <v>1</v>
      </c>
      <c r="I8" s="2" t="s">
        <v>661</v>
      </c>
      <c r="J8" s="7" t="n">
        <v>11.08</v>
      </c>
      <c r="K8" s="23" t="n">
        <v>1</v>
      </c>
      <c r="L8" s="7" t="n">
        <f aca="false">G8*1.44+IF(K8&gt;0,1,0)</f>
        <v>11.08</v>
      </c>
      <c r="M8" s="2"/>
    </row>
    <row r="9" customFormat="false" ht="23.85" hidden="false" customHeight="false" outlineLevel="0" collapsed="false">
      <c r="A9" s="2" t="s">
        <v>666</v>
      </c>
      <c r="B9" s="2" t="s">
        <v>667</v>
      </c>
      <c r="C9" s="2" t="s">
        <v>668</v>
      </c>
      <c r="D9" s="23" t="n">
        <v>405</v>
      </c>
      <c r="E9" s="2" t="s">
        <v>665</v>
      </c>
      <c r="F9" s="23" t="n">
        <v>10</v>
      </c>
      <c r="G9" s="23" t="n">
        <v>4</v>
      </c>
      <c r="H9" s="23" t="n">
        <v>2</v>
      </c>
      <c r="I9" s="2" t="s">
        <v>669</v>
      </c>
      <c r="J9" s="7" t="n">
        <v>6.76</v>
      </c>
      <c r="K9" s="24" t="n">
        <v>1</v>
      </c>
      <c r="L9" s="7" t="n">
        <f aca="false">G9*1.44+IF(K9&gt;0,1,0)</f>
        <v>6.76</v>
      </c>
      <c r="M9" s="16" t="s">
        <v>670</v>
      </c>
    </row>
    <row r="10" customFormat="false" ht="23.85" hidden="false" customHeight="false" outlineLevel="0" collapsed="false">
      <c r="A10" s="2" t="s">
        <v>671</v>
      </c>
      <c r="B10" s="2" t="s">
        <v>672</v>
      </c>
      <c r="C10" s="2" t="s">
        <v>673</v>
      </c>
      <c r="D10" s="23" t="n">
        <v>6609</v>
      </c>
      <c r="E10" s="2" t="s">
        <v>674</v>
      </c>
      <c r="F10" s="23" t="n">
        <v>65</v>
      </c>
      <c r="G10" s="23" t="n">
        <v>2</v>
      </c>
      <c r="H10" s="23" t="n">
        <v>1</v>
      </c>
      <c r="I10" s="2" t="s">
        <v>661</v>
      </c>
      <c r="J10" s="7" t="n">
        <v>11.38</v>
      </c>
      <c r="K10" s="23" t="n">
        <v>1</v>
      </c>
      <c r="L10" s="7" t="n">
        <f aca="false">J10</f>
        <v>11.38</v>
      </c>
      <c r="M10" s="2"/>
    </row>
    <row r="11" customFormat="false" ht="23.85" hidden="false" customHeight="false" outlineLevel="0" collapsed="false">
      <c r="A11" s="2" t="s">
        <v>675</v>
      </c>
      <c r="B11" s="2" t="s">
        <v>676</v>
      </c>
      <c r="C11" s="2" t="s">
        <v>677</v>
      </c>
      <c r="D11" s="23" t="n">
        <v>6765</v>
      </c>
      <c r="E11" s="2" t="s">
        <v>674</v>
      </c>
      <c r="F11" s="23" t="n">
        <v>80</v>
      </c>
      <c r="G11" s="23" t="n">
        <v>2</v>
      </c>
      <c r="H11" s="23" t="n">
        <v>1</v>
      </c>
      <c r="I11" s="2" t="s">
        <v>661</v>
      </c>
      <c r="J11" s="7" t="n">
        <v>12.31</v>
      </c>
      <c r="K11" s="23" t="n">
        <v>1</v>
      </c>
      <c r="L11" s="7" t="n">
        <f aca="false">J11</f>
        <v>12.31</v>
      </c>
      <c r="M11" s="2"/>
    </row>
    <row r="12" customFormat="false" ht="23.85" hidden="false" customHeight="false" outlineLevel="0" collapsed="false">
      <c r="A12" s="2" t="s">
        <v>678</v>
      </c>
      <c r="B12" s="2" t="s">
        <v>679</v>
      </c>
      <c r="C12" s="2" t="s">
        <v>680</v>
      </c>
      <c r="D12" s="23" t="n">
        <v>201</v>
      </c>
      <c r="E12" s="2" t="s">
        <v>681</v>
      </c>
      <c r="F12" s="23" t="n">
        <v>0</v>
      </c>
      <c r="G12" s="23" t="n">
        <v>0</v>
      </c>
      <c r="H12" s="23" t="n">
        <v>0</v>
      </c>
      <c r="I12" s="2" t="s">
        <v>656</v>
      </c>
      <c r="J12" s="7" t="n">
        <v>0</v>
      </c>
      <c r="K12" s="23" t="n">
        <v>0</v>
      </c>
      <c r="L12" s="7" t="n">
        <f aca="false">K12*1</f>
        <v>0</v>
      </c>
      <c r="M12" s="2"/>
    </row>
    <row r="13" customFormat="false" ht="23.85" hidden="false" customHeight="false" outlineLevel="0" collapsed="false">
      <c r="A13" s="2" t="s">
        <v>682</v>
      </c>
      <c r="B13" s="2" t="s">
        <v>683</v>
      </c>
      <c r="C13" s="2" t="s">
        <v>684</v>
      </c>
      <c r="D13" s="23" t="n">
        <v>407</v>
      </c>
      <c r="E13" s="2" t="s">
        <v>685</v>
      </c>
      <c r="F13" s="23" t="n">
        <v>9</v>
      </c>
      <c r="G13" s="23" t="n">
        <v>1</v>
      </c>
      <c r="H13" s="23" t="n">
        <v>1</v>
      </c>
      <c r="I13" s="2" t="s">
        <v>661</v>
      </c>
      <c r="J13" s="7" t="n">
        <v>2.44</v>
      </c>
      <c r="K13" s="23" t="n">
        <v>1</v>
      </c>
      <c r="L13" s="7" t="n">
        <f aca="false">G13*1.44+IF(K13&gt;0,1,0)</f>
        <v>2.44</v>
      </c>
      <c r="M13" s="2"/>
    </row>
    <row r="14" customFormat="false" ht="23.85" hidden="false" customHeight="false" outlineLevel="0" collapsed="false">
      <c r="A14" s="2" t="s">
        <v>686</v>
      </c>
      <c r="B14" s="2" t="s">
        <v>687</v>
      </c>
      <c r="C14" s="2" t="s">
        <v>688</v>
      </c>
      <c r="D14" s="23" t="n">
        <v>315</v>
      </c>
      <c r="E14" s="2" t="s">
        <v>689</v>
      </c>
      <c r="F14" s="23" t="n">
        <v>3</v>
      </c>
      <c r="G14" s="23" t="n">
        <v>0</v>
      </c>
      <c r="H14" s="23" t="n">
        <v>2</v>
      </c>
      <c r="I14" s="2" t="s">
        <v>690</v>
      </c>
      <c r="J14" s="7" t="n">
        <v>2</v>
      </c>
      <c r="K14" s="24" t="n">
        <v>1</v>
      </c>
      <c r="L14" s="7" t="n">
        <f aca="false">K14*1</f>
        <v>1</v>
      </c>
      <c r="M14" s="16" t="s">
        <v>691</v>
      </c>
    </row>
    <row r="15" customFormat="false" ht="23.85" hidden="false" customHeight="false" outlineLevel="0" collapsed="false">
      <c r="A15" s="2" t="s">
        <v>692</v>
      </c>
      <c r="B15" s="2" t="s">
        <v>693</v>
      </c>
      <c r="C15" s="2" t="s">
        <v>684</v>
      </c>
      <c r="D15" s="23" t="n">
        <v>691</v>
      </c>
      <c r="E15" s="2" t="s">
        <v>665</v>
      </c>
      <c r="F15" s="23" t="n">
        <v>21</v>
      </c>
      <c r="G15" s="23" t="n">
        <v>7</v>
      </c>
      <c r="H15" s="23" t="n">
        <v>1</v>
      </c>
      <c r="I15" s="2" t="s">
        <v>661</v>
      </c>
      <c r="J15" s="7" t="n">
        <v>11.08</v>
      </c>
      <c r="K15" s="23" t="n">
        <v>1</v>
      </c>
      <c r="L15" s="7" t="n">
        <f aca="false">G15*1.44+IF(K15&gt;0,1,0)</f>
        <v>11.08</v>
      </c>
      <c r="M15" s="2"/>
    </row>
    <row r="16" customFormat="false" ht="23.85" hidden="false" customHeight="false" outlineLevel="0" collapsed="false">
      <c r="A16" s="2" t="s">
        <v>694</v>
      </c>
      <c r="B16" s="2" t="s">
        <v>695</v>
      </c>
      <c r="C16" s="2" t="s">
        <v>696</v>
      </c>
      <c r="D16" s="23" t="n">
        <v>371</v>
      </c>
      <c r="E16" s="2" t="s">
        <v>689</v>
      </c>
      <c r="F16" s="23" t="n">
        <v>11</v>
      </c>
      <c r="G16" s="23" t="n">
        <v>0</v>
      </c>
      <c r="H16" s="23" t="n">
        <v>5</v>
      </c>
      <c r="I16" s="2" t="s">
        <v>697</v>
      </c>
      <c r="J16" s="7" t="n">
        <v>5</v>
      </c>
      <c r="K16" s="23" t="n">
        <v>5</v>
      </c>
      <c r="L16" s="7" t="n">
        <f aca="false">K16*1</f>
        <v>5</v>
      </c>
      <c r="M16" s="2" t="s">
        <v>698</v>
      </c>
    </row>
    <row r="17" customFormat="false" ht="23.85" hidden="false" customHeight="false" outlineLevel="0" collapsed="false">
      <c r="A17" s="2" t="s">
        <v>699</v>
      </c>
      <c r="B17" s="2" t="s">
        <v>700</v>
      </c>
      <c r="C17" s="2" t="s">
        <v>701</v>
      </c>
      <c r="D17" s="23" t="n">
        <v>346</v>
      </c>
      <c r="E17" s="2" t="s">
        <v>689</v>
      </c>
      <c r="F17" s="23" t="n">
        <v>5</v>
      </c>
      <c r="G17" s="23" t="n">
        <v>0</v>
      </c>
      <c r="H17" s="23" t="n">
        <v>3</v>
      </c>
      <c r="I17" s="2" t="s">
        <v>702</v>
      </c>
      <c r="J17" s="7" t="n">
        <v>3</v>
      </c>
      <c r="K17" s="23" t="n">
        <v>3</v>
      </c>
      <c r="L17" s="7" t="n">
        <f aca="false">K17*1</f>
        <v>3</v>
      </c>
      <c r="M17" s="2" t="s">
        <v>698</v>
      </c>
    </row>
    <row r="18" customFormat="false" ht="23.85" hidden="false" customHeight="false" outlineLevel="0" collapsed="false">
      <c r="A18" s="2" t="s">
        <v>703</v>
      </c>
      <c r="B18" s="2" t="s">
        <v>704</v>
      </c>
      <c r="C18" s="2" t="s">
        <v>705</v>
      </c>
      <c r="D18" s="23" t="n">
        <v>336</v>
      </c>
      <c r="E18" s="2" t="s">
        <v>689</v>
      </c>
      <c r="F18" s="23" t="n">
        <v>6</v>
      </c>
      <c r="G18" s="23" t="n">
        <v>0</v>
      </c>
      <c r="H18" s="23" t="n">
        <v>3</v>
      </c>
      <c r="I18" s="2" t="s">
        <v>706</v>
      </c>
      <c r="J18" s="7" t="n">
        <v>3</v>
      </c>
      <c r="K18" s="23" t="n">
        <v>3</v>
      </c>
      <c r="L18" s="7" t="n">
        <f aca="false">K18*1</f>
        <v>3</v>
      </c>
      <c r="M18" s="2" t="s">
        <v>698</v>
      </c>
    </row>
    <row r="19" customFormat="false" ht="15" hidden="false" customHeight="false" outlineLevel="0" collapsed="false">
      <c r="A19" s="2" t="s">
        <v>707</v>
      </c>
      <c r="B19" s="2" t="s">
        <v>708</v>
      </c>
      <c r="C19" s="2" t="s">
        <v>709</v>
      </c>
      <c r="D19" s="23" t="n">
        <v>488</v>
      </c>
      <c r="E19" s="2" t="s">
        <v>665</v>
      </c>
      <c r="F19" s="23" t="n">
        <v>7</v>
      </c>
      <c r="G19" s="23" t="n">
        <v>2</v>
      </c>
      <c r="H19" s="23" t="n">
        <v>1</v>
      </c>
      <c r="I19" s="2" t="s">
        <v>661</v>
      </c>
      <c r="J19" s="7" t="n">
        <v>3.88</v>
      </c>
      <c r="K19" s="23" t="n">
        <v>1</v>
      </c>
      <c r="L19" s="7" t="n">
        <f aca="false">G19*1.44+IF(K19&gt;0,1,0)</f>
        <v>3.88</v>
      </c>
      <c r="M19" s="2"/>
    </row>
    <row r="20" customFormat="false" ht="23.85" hidden="false" customHeight="false" outlineLevel="0" collapsed="false">
      <c r="A20" s="2" t="s">
        <v>710</v>
      </c>
      <c r="B20" s="2" t="s">
        <v>711</v>
      </c>
      <c r="C20" s="2" t="s">
        <v>712</v>
      </c>
      <c r="D20" s="23" t="n">
        <v>421</v>
      </c>
      <c r="E20" s="2" t="s">
        <v>665</v>
      </c>
      <c r="F20" s="23" t="n">
        <v>5</v>
      </c>
      <c r="G20" s="23" t="n">
        <v>2</v>
      </c>
      <c r="H20" s="23" t="n">
        <v>2</v>
      </c>
      <c r="I20" s="2" t="s">
        <v>713</v>
      </c>
      <c r="J20" s="7" t="n">
        <v>3.88</v>
      </c>
      <c r="K20" s="24" t="n">
        <v>1</v>
      </c>
      <c r="L20" s="7" t="n">
        <f aca="false">G20*1.44+IF(K20&gt;0,1,0)</f>
        <v>3.88</v>
      </c>
      <c r="M20" s="16" t="s">
        <v>670</v>
      </c>
    </row>
    <row r="21" customFormat="false" ht="23.85" hidden="false" customHeight="false" outlineLevel="0" collapsed="false">
      <c r="A21" s="2" t="s">
        <v>714</v>
      </c>
      <c r="B21" s="2" t="s">
        <v>715</v>
      </c>
      <c r="C21" s="2" t="s">
        <v>716</v>
      </c>
      <c r="D21" s="23" t="n">
        <v>330</v>
      </c>
      <c r="E21" s="2" t="s">
        <v>665</v>
      </c>
      <c r="F21" s="23" t="n">
        <v>11</v>
      </c>
      <c r="G21" s="23" t="n">
        <v>4</v>
      </c>
      <c r="H21" s="23" t="n">
        <v>2</v>
      </c>
      <c r="I21" s="2" t="s">
        <v>713</v>
      </c>
      <c r="J21" s="7" t="n">
        <v>6.76</v>
      </c>
      <c r="K21" s="24" t="n">
        <v>1</v>
      </c>
      <c r="L21" s="7" t="n">
        <f aca="false">G21*1.44+IF(K21&gt;0,1,0)</f>
        <v>6.76</v>
      </c>
      <c r="M21" s="16" t="s">
        <v>670</v>
      </c>
    </row>
    <row r="22" customFormat="false" ht="15" hidden="false" customHeight="false" outlineLevel="0" collapsed="false">
      <c r="A22" s="2" t="s">
        <v>717</v>
      </c>
      <c r="B22" s="2" t="s">
        <v>718</v>
      </c>
      <c r="C22" s="2" t="s">
        <v>719</v>
      </c>
      <c r="D22" s="23" t="n">
        <v>183</v>
      </c>
      <c r="E22" s="2" t="s">
        <v>665</v>
      </c>
      <c r="F22" s="23" t="n">
        <v>9</v>
      </c>
      <c r="G22" s="23" t="n">
        <v>3</v>
      </c>
      <c r="H22" s="23" t="n">
        <v>1</v>
      </c>
      <c r="I22" s="2" t="s">
        <v>661</v>
      </c>
      <c r="J22" s="7" t="n">
        <v>5.32</v>
      </c>
      <c r="K22" s="23" t="n">
        <v>1</v>
      </c>
      <c r="L22" s="7" t="n">
        <f aca="false">G22*1.44+IF(K22&gt;0,1,0)</f>
        <v>5.32</v>
      </c>
      <c r="M22" s="2"/>
    </row>
    <row r="23" customFormat="false" ht="15" hidden="false" customHeight="false" outlineLevel="0" collapsed="false">
      <c r="A23" s="2" t="s">
        <v>720</v>
      </c>
      <c r="B23" s="2" t="s">
        <v>721</v>
      </c>
      <c r="C23" s="2" t="s">
        <v>722</v>
      </c>
      <c r="D23" s="23" t="n">
        <v>168</v>
      </c>
      <c r="E23" s="2" t="s">
        <v>665</v>
      </c>
      <c r="F23" s="23" t="n">
        <v>7</v>
      </c>
      <c r="G23" s="23" t="n">
        <v>3</v>
      </c>
      <c r="H23" s="23" t="n">
        <v>1</v>
      </c>
      <c r="I23" s="2" t="s">
        <v>661</v>
      </c>
      <c r="J23" s="7" t="n">
        <v>5.32</v>
      </c>
      <c r="K23" s="23" t="n">
        <v>1</v>
      </c>
      <c r="L23" s="7" t="n">
        <f aca="false">G23*1.44+IF(K23&gt;0,1,0)</f>
        <v>5.32</v>
      </c>
      <c r="M23" s="2"/>
    </row>
    <row r="24" customFormat="false" ht="23.85" hidden="false" customHeight="false" outlineLevel="0" collapsed="false">
      <c r="A24" s="2" t="s">
        <v>723</v>
      </c>
      <c r="B24" s="2" t="s">
        <v>724</v>
      </c>
      <c r="C24" s="2" t="s">
        <v>725</v>
      </c>
      <c r="D24" s="23" t="n">
        <v>161</v>
      </c>
      <c r="E24" s="2" t="s">
        <v>665</v>
      </c>
      <c r="F24" s="23" t="n">
        <v>3</v>
      </c>
      <c r="G24" s="23" t="n">
        <v>1</v>
      </c>
      <c r="H24" s="23" t="n">
        <v>1</v>
      </c>
      <c r="I24" s="2" t="s">
        <v>661</v>
      </c>
      <c r="J24" s="7" t="n">
        <v>2.44</v>
      </c>
      <c r="K24" s="23" t="n">
        <v>1</v>
      </c>
      <c r="L24" s="7" t="n">
        <f aca="false">G24*1.44+IF(K24&gt;0,1,0)</f>
        <v>2.44</v>
      </c>
      <c r="M24" s="2"/>
    </row>
    <row r="25" customFormat="false" ht="23.85" hidden="false" customHeight="false" outlineLevel="0" collapsed="false">
      <c r="A25" s="2" t="s">
        <v>726</v>
      </c>
      <c r="B25" s="2" t="s">
        <v>727</v>
      </c>
      <c r="C25" s="2" t="s">
        <v>728</v>
      </c>
      <c r="D25" s="23" t="n">
        <v>241</v>
      </c>
      <c r="E25" s="2" t="s">
        <v>665</v>
      </c>
      <c r="F25" s="23" t="n">
        <v>8</v>
      </c>
      <c r="G25" s="23" t="n">
        <v>3</v>
      </c>
      <c r="H25" s="23" t="n">
        <v>1</v>
      </c>
      <c r="I25" s="2" t="s">
        <v>661</v>
      </c>
      <c r="J25" s="7" t="n">
        <v>5.32</v>
      </c>
      <c r="K25" s="23" t="n">
        <v>1</v>
      </c>
      <c r="L25" s="7" t="n">
        <f aca="false">G25*1.44+IF(K25&gt;0,1,0)</f>
        <v>5.32</v>
      </c>
      <c r="M25" s="2"/>
    </row>
    <row r="26" customFormat="false" ht="23.85" hidden="false" customHeight="false" outlineLevel="0" collapsed="false">
      <c r="A26" s="2" t="s">
        <v>729</v>
      </c>
      <c r="B26" s="2" t="s">
        <v>730</v>
      </c>
      <c r="C26" s="2" t="s">
        <v>712</v>
      </c>
      <c r="D26" s="23" t="n">
        <v>161</v>
      </c>
      <c r="E26" s="2" t="s">
        <v>689</v>
      </c>
      <c r="F26" s="23" t="n">
        <v>3</v>
      </c>
      <c r="G26" s="23" t="n">
        <v>0</v>
      </c>
      <c r="H26" s="23" t="n">
        <v>2</v>
      </c>
      <c r="I26" s="2" t="s">
        <v>690</v>
      </c>
      <c r="J26" s="7" t="n">
        <v>2</v>
      </c>
      <c r="K26" s="24" t="n">
        <v>1</v>
      </c>
      <c r="L26" s="7" t="n">
        <f aca="false">K26*1</f>
        <v>1</v>
      </c>
      <c r="M26" s="16" t="s">
        <v>691</v>
      </c>
    </row>
    <row r="27" customFormat="false" ht="15" hidden="false" customHeight="false" outlineLevel="0" collapsed="false">
      <c r="A27" s="9" t="s">
        <v>731</v>
      </c>
      <c r="F27" s="24" t="n">
        <f aca="false">SUM(F6:F26)</f>
        <v>298</v>
      </c>
      <c r="G27" s="24" t="n">
        <f aca="false">SUM(G6:G26)</f>
        <v>44</v>
      </c>
      <c r="H27" s="24" t="n">
        <f aca="false">SUM(H6:H26)</f>
        <v>32</v>
      </c>
      <c r="J27" s="10" t="n">
        <f aca="false">SUM(J6:J26)</f>
        <v>108.29</v>
      </c>
      <c r="K27" s="24" t="n">
        <f aca="false">SUM(K6:K26)</f>
        <v>27</v>
      </c>
      <c r="L27" s="10" t="n">
        <f aca="false">SUM(L6:L26)</f>
        <v>106.29</v>
      </c>
    </row>
    <row r="28" customFormat="false" ht="32.8" hidden="false" customHeight="false" outlineLevel="0" collapsed="false">
      <c r="A28" s="25" t="s">
        <v>732</v>
      </c>
    </row>
    <row r="30" customFormat="false" ht="15" hidden="false" customHeight="false" outlineLevel="0" collapsed="false">
      <c r="A30" s="6" t="s">
        <v>44</v>
      </c>
      <c r="B30" s="6"/>
      <c r="C30" s="6"/>
      <c r="D30" s="6"/>
      <c r="E30" s="6"/>
      <c r="F30" s="6"/>
      <c r="G30" s="6"/>
      <c r="H30" s="6"/>
      <c r="I30" s="6"/>
      <c r="J30" s="6"/>
      <c r="K30" s="6"/>
      <c r="L30" s="6"/>
      <c r="M30" s="6"/>
    </row>
    <row r="31" customFormat="false" ht="23.85" hidden="false" customHeight="false" outlineLevel="0" collapsed="false">
      <c r="A31" s="2" t="s">
        <v>733</v>
      </c>
      <c r="B31" s="2" t="s">
        <v>734</v>
      </c>
      <c r="C31" s="2" t="s">
        <v>735</v>
      </c>
      <c r="D31" s="23" t="n">
        <v>52</v>
      </c>
      <c r="E31" s="2" t="s">
        <v>736</v>
      </c>
      <c r="I31" s="2" t="s">
        <v>737</v>
      </c>
      <c r="J31" s="7" t="n">
        <v>7.36</v>
      </c>
      <c r="L31" s="7" t="n">
        <f aca="false">J31</f>
        <v>7.36</v>
      </c>
    </row>
    <row r="32" customFormat="false" ht="23.85" hidden="false" customHeight="false" outlineLevel="0" collapsed="false">
      <c r="A32" s="2" t="s">
        <v>662</v>
      </c>
      <c r="B32" s="2" t="s">
        <v>738</v>
      </c>
      <c r="C32" s="2" t="s">
        <v>739</v>
      </c>
      <c r="D32" s="23" t="n">
        <v>2</v>
      </c>
      <c r="E32" s="2" t="s">
        <v>740</v>
      </c>
      <c r="I32" s="2" t="s">
        <v>741</v>
      </c>
      <c r="J32" s="7" t="n">
        <v>0.49</v>
      </c>
      <c r="L32" s="7" t="n">
        <f aca="false">J32</f>
        <v>0.49</v>
      </c>
    </row>
    <row r="33" customFormat="false" ht="15" hidden="false" customHeight="false" outlineLevel="0" collapsed="false">
      <c r="A33" s="2" t="s">
        <v>666</v>
      </c>
      <c r="B33" s="2" t="s">
        <v>742</v>
      </c>
      <c r="C33" s="2" t="s">
        <v>743</v>
      </c>
      <c r="D33" s="23" t="n">
        <v>11</v>
      </c>
      <c r="E33" s="2" t="s">
        <v>744</v>
      </c>
      <c r="I33" s="2" t="s">
        <v>745</v>
      </c>
      <c r="J33" s="7" t="n">
        <v>3.07</v>
      </c>
      <c r="L33" s="7" t="n">
        <f aca="false">J33</f>
        <v>3.07</v>
      </c>
    </row>
    <row r="34" customFormat="false" ht="23.85" hidden="false" customHeight="false" outlineLevel="0" collapsed="false">
      <c r="A34" s="2" t="s">
        <v>746</v>
      </c>
      <c r="B34" s="2" t="s">
        <v>747</v>
      </c>
      <c r="C34" s="2" t="s">
        <v>748</v>
      </c>
      <c r="D34" s="23" t="n">
        <v>13</v>
      </c>
      <c r="E34" s="2" t="s">
        <v>749</v>
      </c>
      <c r="I34" s="2" t="s">
        <v>750</v>
      </c>
      <c r="J34" s="7" t="n">
        <v>0.66</v>
      </c>
      <c r="L34" s="7" t="n">
        <f aca="false">J34</f>
        <v>0.66</v>
      </c>
    </row>
    <row r="35" customFormat="false" ht="15" hidden="false" customHeight="false" outlineLevel="0" collapsed="false">
      <c r="A35" s="2" t="s">
        <v>751</v>
      </c>
      <c r="B35" s="2" t="s">
        <v>752</v>
      </c>
      <c r="C35" s="2" t="s">
        <v>753</v>
      </c>
      <c r="D35" s="23" t="n">
        <v>1</v>
      </c>
      <c r="E35" s="2" t="s">
        <v>754</v>
      </c>
      <c r="I35" s="2" t="s">
        <v>755</v>
      </c>
      <c r="J35" s="7" t="n">
        <v>0.25</v>
      </c>
      <c r="L35" s="7" t="n">
        <f aca="false">J35</f>
        <v>0.25</v>
      </c>
    </row>
    <row r="36" customFormat="false" ht="23.85" hidden="false" customHeight="false" outlineLevel="0" collapsed="false">
      <c r="A36" s="2" t="s">
        <v>756</v>
      </c>
      <c r="B36" s="2" t="s">
        <v>757</v>
      </c>
      <c r="C36" s="2" t="s">
        <v>758</v>
      </c>
      <c r="D36" s="23" t="n">
        <v>29</v>
      </c>
      <c r="E36" s="2" t="s">
        <v>759</v>
      </c>
      <c r="I36" s="2" t="s">
        <v>760</v>
      </c>
      <c r="J36" s="7" t="n">
        <v>17.71</v>
      </c>
      <c r="L36" s="7" t="n">
        <f aca="false">J36</f>
        <v>17.71</v>
      </c>
    </row>
    <row r="37" customFormat="false" ht="23.85" hidden="false" customHeight="false" outlineLevel="0" collapsed="false">
      <c r="A37" s="2" t="s">
        <v>761</v>
      </c>
      <c r="B37" s="2" t="s">
        <v>762</v>
      </c>
      <c r="C37" s="2" t="s">
        <v>763</v>
      </c>
      <c r="D37" s="23" t="n">
        <v>29</v>
      </c>
      <c r="E37" s="2" t="s">
        <v>764</v>
      </c>
      <c r="I37" s="2" t="s">
        <v>765</v>
      </c>
      <c r="J37" s="7" t="n">
        <v>17.71</v>
      </c>
      <c r="L37" s="7" t="n">
        <f aca="false">J37</f>
        <v>17.71</v>
      </c>
    </row>
    <row r="38" customFormat="false" ht="15" hidden="false" customHeight="false" outlineLevel="0" collapsed="false">
      <c r="A38" s="9" t="s">
        <v>766</v>
      </c>
      <c r="J38" s="10" t="n">
        <f aca="false">SUM(J31:J37)</f>
        <v>47.25</v>
      </c>
      <c r="L38" s="10" t="n">
        <f aca="false">SUM(L31:L37)</f>
        <v>47.25</v>
      </c>
    </row>
    <row r="39" customFormat="false" ht="32.8" hidden="false" customHeight="false" outlineLevel="0" collapsed="false">
      <c r="A39" s="25" t="s">
        <v>767</v>
      </c>
    </row>
    <row r="41" customFormat="false" ht="15" hidden="false" customHeight="false" outlineLevel="0" collapsed="false">
      <c r="A41" s="6" t="s">
        <v>62</v>
      </c>
      <c r="B41" s="6"/>
      <c r="C41" s="6"/>
      <c r="D41" s="6"/>
      <c r="E41" s="6"/>
      <c r="F41" s="6"/>
      <c r="G41" s="6"/>
      <c r="H41" s="6"/>
      <c r="I41" s="6"/>
      <c r="J41" s="6"/>
      <c r="K41" s="6"/>
      <c r="L41" s="6"/>
      <c r="M41" s="6"/>
    </row>
    <row r="42" customFormat="false" ht="15" hidden="false" customHeight="false" outlineLevel="0" collapsed="false">
      <c r="A42" s="2" t="s">
        <v>768</v>
      </c>
      <c r="B42" s="2" t="s">
        <v>769</v>
      </c>
      <c r="C42" s="2" t="s">
        <v>770</v>
      </c>
      <c r="D42" s="23" t="n">
        <v>238</v>
      </c>
      <c r="E42" s="2" t="s">
        <v>771</v>
      </c>
      <c r="F42" s="23" t="n">
        <v>25</v>
      </c>
      <c r="I42" s="2" t="s">
        <v>772</v>
      </c>
      <c r="J42" s="7" t="n">
        <v>60</v>
      </c>
      <c r="L42" s="7" t="n">
        <f aca="false">J42</f>
        <v>60</v>
      </c>
      <c r="M42" s="16" t="s">
        <v>773</v>
      </c>
    </row>
    <row r="43" customFormat="false" ht="15" hidden="false" customHeight="false" outlineLevel="0" collapsed="false">
      <c r="A43" s="2" t="s">
        <v>774</v>
      </c>
      <c r="B43" s="2" t="s">
        <v>775</v>
      </c>
      <c r="C43" s="2" t="s">
        <v>776</v>
      </c>
      <c r="D43" s="23" t="n">
        <v>271</v>
      </c>
      <c r="E43" s="2" t="s">
        <v>777</v>
      </c>
      <c r="F43" s="23" t="n">
        <v>10</v>
      </c>
      <c r="I43" s="2" t="s">
        <v>772</v>
      </c>
      <c r="J43" s="7" t="n">
        <v>24</v>
      </c>
      <c r="L43" s="7" t="n">
        <f aca="false">J43</f>
        <v>24</v>
      </c>
      <c r="M43" s="16" t="s">
        <v>778</v>
      </c>
    </row>
    <row r="44" customFormat="false" ht="15" hidden="false" customHeight="false" outlineLevel="0" collapsed="false">
      <c r="A44" s="2" t="s">
        <v>779</v>
      </c>
      <c r="B44" s="2" t="s">
        <v>780</v>
      </c>
      <c r="C44" s="2" t="s">
        <v>781</v>
      </c>
      <c r="D44" s="23" t="n">
        <v>271</v>
      </c>
      <c r="E44" s="2" t="s">
        <v>777</v>
      </c>
      <c r="F44" s="23" t="n">
        <v>10</v>
      </c>
      <c r="I44" s="2" t="s">
        <v>772</v>
      </c>
      <c r="J44" s="7" t="n">
        <v>24</v>
      </c>
      <c r="L44" s="7" t="n">
        <f aca="false">J44</f>
        <v>24</v>
      </c>
      <c r="M44" s="16" t="s">
        <v>778</v>
      </c>
    </row>
    <row r="45" customFormat="false" ht="15" hidden="false" customHeight="false" outlineLevel="0" collapsed="false">
      <c r="A45" s="9" t="s">
        <v>782</v>
      </c>
      <c r="J45" s="10" t="n">
        <f aca="false">SUM(J42:J44)</f>
        <v>108</v>
      </c>
      <c r="L45" s="10" t="n">
        <f aca="false">SUM(L42:L44)</f>
        <v>108</v>
      </c>
    </row>
  </sheetData>
  <mergeCells count="1">
    <mergeCell ref="A2:M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3"/>
    <col collapsed="false" customWidth="true" hidden="false" outlineLevel="0" max="3" min="3" style="0" width="34"/>
    <col collapsed="false" customWidth="true" hidden="false" outlineLevel="0" max="4" min="4" style="0" width="14"/>
    <col collapsed="false" customWidth="true" hidden="false" outlineLevel="0" max="5" min="5" style="0" width="18"/>
    <col collapsed="false" customWidth="true" hidden="false" outlineLevel="0" max="6" min="6" style="0" width="14"/>
    <col collapsed="false" customWidth="true" hidden="false" outlineLevel="0" max="7" min="7" style="0" width="70"/>
    <col collapsed="false" customWidth="true" hidden="false" outlineLevel="0" max="8" min="8" style="0" width="22"/>
    <col collapsed="false" customWidth="true" hidden="false" outlineLevel="0" max="9" min="9" style="0" width="13"/>
    <col collapsed="false" customWidth="true" hidden="false" outlineLevel="0" max="10" min="10" style="0" width="40"/>
  </cols>
  <sheetData>
    <row r="1" customFormat="false" ht="16.15" hidden="false" customHeight="false" outlineLevel="0" collapsed="false">
      <c r="A1" s="4" t="s">
        <v>783</v>
      </c>
    </row>
    <row r="3" customFormat="false" ht="15" hidden="false" customHeight="false" outlineLevel="0" collapsed="false">
      <c r="A3" s="9" t="s">
        <v>784</v>
      </c>
    </row>
    <row r="4" customFormat="false" ht="15" hidden="false" customHeight="false" outlineLevel="0" collapsed="false">
      <c r="A4" s="5" t="s">
        <v>785</v>
      </c>
      <c r="B4" s="5" t="s">
        <v>786</v>
      </c>
      <c r="C4" s="5" t="s">
        <v>787</v>
      </c>
      <c r="D4" s="5" t="s">
        <v>788</v>
      </c>
      <c r="E4" s="5" t="s">
        <v>789</v>
      </c>
      <c r="F4" s="5" t="s">
        <v>790</v>
      </c>
      <c r="G4" s="5" t="s">
        <v>791</v>
      </c>
      <c r="H4" s="5" t="s">
        <v>11</v>
      </c>
    </row>
    <row r="5" customFormat="false" ht="23.85" hidden="false" customHeight="false" outlineLevel="0" collapsed="false">
      <c r="A5" s="2" t="s">
        <v>792</v>
      </c>
      <c r="B5" s="2" t="n">
        <v>1200</v>
      </c>
      <c r="C5" s="2" t="n">
        <v>600</v>
      </c>
      <c r="D5" s="2" t="n">
        <v>2000</v>
      </c>
      <c r="E5" s="2" t="s">
        <v>793</v>
      </c>
      <c r="F5" s="2" t="s">
        <v>794</v>
      </c>
      <c r="G5" s="2" t="s">
        <v>795</v>
      </c>
      <c r="H5" s="2" t="s">
        <v>796</v>
      </c>
    </row>
    <row r="6" customFormat="false" ht="23.85" hidden="false" customHeight="false" outlineLevel="0" collapsed="false">
      <c r="A6" s="2" t="s">
        <v>797</v>
      </c>
      <c r="B6" s="2" t="n">
        <v>1200</v>
      </c>
      <c r="C6" s="2" t="n">
        <v>600</v>
      </c>
      <c r="D6" s="2" t="n">
        <v>40</v>
      </c>
      <c r="E6" s="2" t="s">
        <v>122</v>
      </c>
      <c r="F6" s="2" t="s">
        <v>798</v>
      </c>
      <c r="G6" s="2" t="s">
        <v>799</v>
      </c>
      <c r="H6" s="2" t="s">
        <v>800</v>
      </c>
    </row>
    <row r="7" customFormat="false" ht="23.85" hidden="false" customHeight="false" outlineLevel="0" collapsed="false">
      <c r="A7" s="2" t="s">
        <v>801</v>
      </c>
      <c r="B7" s="2" t="n">
        <v>600</v>
      </c>
      <c r="C7" s="2" t="n">
        <v>400</v>
      </c>
      <c r="D7" s="2" t="n">
        <v>300</v>
      </c>
      <c r="E7" s="2" t="s">
        <v>122</v>
      </c>
      <c r="F7" s="2" t="s">
        <v>802</v>
      </c>
      <c r="G7" s="2" t="s">
        <v>803</v>
      </c>
      <c r="H7" s="2" t="s">
        <v>804</v>
      </c>
    </row>
    <row r="8" customFormat="false" ht="15" hidden="false" customHeight="false" outlineLevel="0" collapsed="false">
      <c r="A8" s="2" t="s">
        <v>805</v>
      </c>
      <c r="B8" s="2" t="n">
        <v>1300</v>
      </c>
      <c r="C8" s="2" t="n">
        <v>700</v>
      </c>
      <c r="D8" s="16" t="s">
        <v>126</v>
      </c>
      <c r="E8" s="2" t="s">
        <v>806</v>
      </c>
      <c r="F8" s="2" t="s">
        <v>807</v>
      </c>
      <c r="G8" s="2" t="s">
        <v>808</v>
      </c>
      <c r="H8" s="2" t="s">
        <v>809</v>
      </c>
    </row>
    <row r="9" customFormat="false" ht="23.85" hidden="false" customHeight="false" outlineLevel="0" collapsed="false">
      <c r="A9" s="2" t="s">
        <v>810</v>
      </c>
      <c r="B9" s="2" t="n">
        <v>1300</v>
      </c>
      <c r="C9" s="2" t="n">
        <v>700</v>
      </c>
      <c r="D9" s="16" t="s">
        <v>126</v>
      </c>
      <c r="E9" s="2" t="s">
        <v>811</v>
      </c>
      <c r="F9" s="2" t="s">
        <v>812</v>
      </c>
      <c r="G9" s="2" t="s">
        <v>813</v>
      </c>
      <c r="H9" s="2" t="s">
        <v>814</v>
      </c>
    </row>
    <row r="10" customFormat="false" ht="15" hidden="false" customHeight="false" outlineLevel="0" collapsed="false">
      <c r="A10" s="2" t="s">
        <v>815</v>
      </c>
      <c r="B10" s="2" t="n">
        <v>1200</v>
      </c>
      <c r="C10" s="2" t="n">
        <v>600</v>
      </c>
      <c r="D10" s="16" t="s">
        <v>126</v>
      </c>
      <c r="E10" s="2" t="s">
        <v>816</v>
      </c>
      <c r="F10" s="2" t="s">
        <v>817</v>
      </c>
      <c r="G10" s="2" t="s">
        <v>818</v>
      </c>
      <c r="H10" s="2" t="s">
        <v>819</v>
      </c>
    </row>
    <row r="11" customFormat="false" ht="23.85" hidden="false" customHeight="false" outlineLevel="0" collapsed="false">
      <c r="A11" s="2" t="s">
        <v>820</v>
      </c>
      <c r="B11" s="2" t="n">
        <v>2700</v>
      </c>
      <c r="C11" s="2" t="n">
        <v>1200</v>
      </c>
      <c r="D11" s="16" t="s">
        <v>126</v>
      </c>
      <c r="E11" s="2" t="s">
        <v>806</v>
      </c>
      <c r="F11" s="2" t="s">
        <v>821</v>
      </c>
      <c r="G11" s="2" t="s">
        <v>822</v>
      </c>
      <c r="H11" s="2" t="s">
        <v>823</v>
      </c>
    </row>
    <row r="12" customFormat="false" ht="15" hidden="false" customHeight="false" outlineLevel="0" collapsed="false">
      <c r="A12" s="2" t="s">
        <v>824</v>
      </c>
      <c r="B12" s="2" t="n">
        <v>1200</v>
      </c>
      <c r="C12" s="2" t="n">
        <v>800</v>
      </c>
      <c r="D12" s="2" t="n">
        <v>1045</v>
      </c>
      <c r="E12" s="2" t="s">
        <v>825</v>
      </c>
      <c r="F12" s="2" t="s">
        <v>812</v>
      </c>
      <c r="G12" s="2" t="s">
        <v>826</v>
      </c>
      <c r="H12" s="2" t="s">
        <v>827</v>
      </c>
    </row>
    <row r="13" customFormat="false" ht="23.85" hidden="false" customHeight="false" outlineLevel="0" collapsed="false">
      <c r="A13" s="2" t="s">
        <v>828</v>
      </c>
      <c r="B13" s="2" t="n">
        <v>1200</v>
      </c>
      <c r="C13" s="2" t="n">
        <v>1000</v>
      </c>
      <c r="D13" s="16" t="s">
        <v>126</v>
      </c>
      <c r="E13" s="2" t="s">
        <v>829</v>
      </c>
      <c r="F13" s="2" t="s">
        <v>830</v>
      </c>
      <c r="G13" s="2" t="s">
        <v>831</v>
      </c>
      <c r="H13" s="2" t="s">
        <v>832</v>
      </c>
    </row>
    <row r="15" customFormat="false" ht="15" hidden="false" customHeight="false" outlineLevel="0" collapsed="false">
      <c r="A15" s="9" t="s">
        <v>833</v>
      </c>
    </row>
    <row r="16" customFormat="false" ht="23.85" hidden="false" customHeight="false" outlineLevel="0" collapsed="false">
      <c r="A16" s="5" t="s">
        <v>834</v>
      </c>
      <c r="B16" s="5" t="s">
        <v>835</v>
      </c>
      <c r="C16" s="5" t="s">
        <v>836</v>
      </c>
      <c r="D16" s="5" t="s">
        <v>837</v>
      </c>
      <c r="E16" s="5" t="s">
        <v>838</v>
      </c>
      <c r="F16" s="5" t="s">
        <v>839</v>
      </c>
      <c r="G16" s="5" t="s">
        <v>840</v>
      </c>
      <c r="H16" s="5" t="s">
        <v>841</v>
      </c>
      <c r="I16" s="5" t="s">
        <v>842</v>
      </c>
      <c r="J16" s="5" t="s">
        <v>111</v>
      </c>
    </row>
    <row r="17" customFormat="false" ht="15" hidden="false" customHeight="false" outlineLevel="0" collapsed="false">
      <c r="A17" s="9" t="s">
        <v>843</v>
      </c>
      <c r="B17" s="2" t="s">
        <v>844</v>
      </c>
      <c r="C17" s="2" t="s">
        <v>845</v>
      </c>
      <c r="D17" s="23" t="n">
        <v>254</v>
      </c>
      <c r="E17" s="26" t="n">
        <v>149.9</v>
      </c>
      <c r="F17" s="23" t="n">
        <v>229</v>
      </c>
      <c r="G17" s="2" t="s">
        <v>846</v>
      </c>
      <c r="H17" s="23" t="n">
        <v>1270</v>
      </c>
      <c r="I17" s="23" t="n">
        <v>762</v>
      </c>
    </row>
    <row r="18" customFormat="false" ht="15" hidden="false" customHeight="false" outlineLevel="0" collapsed="false">
      <c r="A18" s="2"/>
      <c r="B18" s="2" t="s">
        <v>847</v>
      </c>
      <c r="C18" s="2" t="s">
        <v>848</v>
      </c>
      <c r="D18" s="23" t="n">
        <v>147</v>
      </c>
      <c r="E18" s="26" t="n">
        <v>149.9</v>
      </c>
      <c r="F18" s="23" t="n">
        <v>184</v>
      </c>
      <c r="G18" s="2" t="s">
        <v>849</v>
      </c>
      <c r="H18" s="23" t="n">
        <v>735</v>
      </c>
      <c r="I18" s="23" t="n">
        <v>441</v>
      </c>
    </row>
    <row r="19" customFormat="false" ht="15" hidden="false" customHeight="false" outlineLevel="0" collapsed="false">
      <c r="A19" s="2"/>
      <c r="B19" s="2" t="s">
        <v>850</v>
      </c>
      <c r="C19" s="2" t="s">
        <v>851</v>
      </c>
      <c r="D19" s="23" t="n">
        <v>76</v>
      </c>
      <c r="E19" s="26" t="n">
        <v>149.7</v>
      </c>
      <c r="F19" s="23" t="n">
        <v>122</v>
      </c>
      <c r="G19" s="2" t="s">
        <v>852</v>
      </c>
      <c r="H19" s="23" t="n">
        <v>456</v>
      </c>
      <c r="I19" s="23" t="n">
        <v>228</v>
      </c>
    </row>
    <row r="20" customFormat="false" ht="15" hidden="false" customHeight="false" outlineLevel="0" collapsed="false">
      <c r="A20" s="17"/>
      <c r="B20" s="17" t="s">
        <v>853</v>
      </c>
      <c r="C20" s="17" t="s">
        <v>854</v>
      </c>
      <c r="D20" s="27" t="n">
        <v>34</v>
      </c>
      <c r="E20" s="28" t="n">
        <v>148.9</v>
      </c>
      <c r="F20" s="27" t="n">
        <v>68</v>
      </c>
      <c r="G20" s="17" t="s">
        <v>855</v>
      </c>
      <c r="H20" s="27" t="n">
        <v>272</v>
      </c>
      <c r="I20" s="27" t="n">
        <v>102</v>
      </c>
    </row>
    <row r="21" customFormat="false" ht="15" hidden="false" customHeight="false" outlineLevel="0" collapsed="false">
      <c r="A21" s="9" t="s">
        <v>856</v>
      </c>
      <c r="B21" s="2" t="s">
        <v>844</v>
      </c>
      <c r="C21" s="2" t="s">
        <v>857</v>
      </c>
      <c r="D21" s="23" t="n">
        <v>105</v>
      </c>
      <c r="E21" s="26" t="n">
        <v>62</v>
      </c>
      <c r="F21" s="23" t="n">
        <v>297.5</v>
      </c>
      <c r="G21" s="2" t="s">
        <v>858</v>
      </c>
      <c r="H21" s="23" t="n">
        <v>420</v>
      </c>
      <c r="I21" s="23" t="n">
        <v>315</v>
      </c>
    </row>
    <row r="22" customFormat="false" ht="15" hidden="false" customHeight="false" outlineLevel="0" collapsed="false">
      <c r="A22" s="2"/>
      <c r="B22" s="2" t="s">
        <v>847</v>
      </c>
      <c r="C22" s="2" t="s">
        <v>859</v>
      </c>
      <c r="D22" s="23" t="n">
        <v>36</v>
      </c>
      <c r="E22" s="26" t="n">
        <v>36.7</v>
      </c>
      <c r="F22" s="23" t="n">
        <v>333</v>
      </c>
      <c r="G22" s="2" t="s">
        <v>860</v>
      </c>
      <c r="H22" s="23" t="n">
        <v>144</v>
      </c>
      <c r="I22" s="23" t="n">
        <v>108</v>
      </c>
    </row>
    <row r="23" customFormat="false" ht="15" hidden="false" customHeight="false" outlineLevel="0" collapsed="false">
      <c r="A23" s="2"/>
      <c r="B23" s="2" t="s">
        <v>850</v>
      </c>
      <c r="C23" s="2" t="s">
        <v>861</v>
      </c>
      <c r="D23" s="23" t="n">
        <v>21</v>
      </c>
      <c r="E23" s="26" t="n">
        <v>41.4</v>
      </c>
      <c r="F23" s="23" t="n">
        <v>414</v>
      </c>
      <c r="G23" s="2" t="s">
        <v>862</v>
      </c>
      <c r="H23" s="23" t="n">
        <v>63</v>
      </c>
      <c r="I23" s="23" t="n">
        <v>63</v>
      </c>
    </row>
    <row r="24" customFormat="false" ht="15" hidden="false" customHeight="false" outlineLevel="0" collapsed="false">
      <c r="A24" s="17"/>
      <c r="B24" s="17" t="s">
        <v>853</v>
      </c>
      <c r="C24" s="17" t="s">
        <v>863</v>
      </c>
      <c r="D24" s="27" t="n">
        <v>18</v>
      </c>
      <c r="E24" s="28" t="n">
        <v>78.8</v>
      </c>
      <c r="F24" s="27" t="n">
        <v>582</v>
      </c>
      <c r="G24" s="17" t="s">
        <v>864</v>
      </c>
      <c r="H24" s="27" t="n">
        <v>54</v>
      </c>
      <c r="I24" s="27" t="n">
        <v>54</v>
      </c>
    </row>
    <row r="25" customFormat="false" ht="15" hidden="false" customHeight="false" outlineLevel="0" collapsed="false">
      <c r="A25" s="9" t="s">
        <v>865</v>
      </c>
      <c r="B25" s="2" t="s">
        <v>844</v>
      </c>
      <c r="C25" s="2" t="s">
        <v>857</v>
      </c>
      <c r="D25" s="23" t="n">
        <v>105</v>
      </c>
      <c r="E25" s="26" t="n">
        <v>74.5</v>
      </c>
      <c r="F25" s="23" t="n">
        <v>297.5</v>
      </c>
      <c r="G25" s="2" t="s">
        <v>858</v>
      </c>
      <c r="H25" s="23" t="n">
        <v>420</v>
      </c>
      <c r="I25" s="23" t="n">
        <v>315</v>
      </c>
    </row>
    <row r="26" customFormat="false" ht="15" hidden="false" customHeight="false" outlineLevel="0" collapsed="false">
      <c r="A26" s="2"/>
      <c r="B26" s="2" t="s">
        <v>847</v>
      </c>
      <c r="C26" s="2" t="s">
        <v>859</v>
      </c>
      <c r="D26" s="23" t="n">
        <v>36</v>
      </c>
      <c r="E26" s="26" t="n">
        <v>48.6</v>
      </c>
      <c r="F26" s="23" t="n">
        <v>333</v>
      </c>
      <c r="G26" s="2" t="s">
        <v>860</v>
      </c>
      <c r="H26" s="23" t="n">
        <v>144</v>
      </c>
      <c r="I26" s="23" t="n">
        <v>108</v>
      </c>
    </row>
    <row r="27" customFormat="false" ht="15" hidden="false" customHeight="false" outlineLevel="0" collapsed="false">
      <c r="A27" s="2"/>
      <c r="B27" s="2" t="s">
        <v>850</v>
      </c>
      <c r="C27" s="2" t="s">
        <v>861</v>
      </c>
      <c r="D27" s="23" t="n">
        <v>21</v>
      </c>
      <c r="E27" s="26" t="n">
        <v>54.6</v>
      </c>
      <c r="F27" s="23" t="n">
        <v>414</v>
      </c>
      <c r="G27" s="2" t="s">
        <v>862</v>
      </c>
      <c r="H27" s="23" t="n">
        <v>63</v>
      </c>
      <c r="I27" s="23" t="n">
        <v>63</v>
      </c>
    </row>
    <row r="28" customFormat="false" ht="15" hidden="false" customHeight="false" outlineLevel="0" collapsed="false">
      <c r="A28" s="17"/>
      <c r="B28" s="17" t="s">
        <v>853</v>
      </c>
      <c r="C28" s="17" t="s">
        <v>863</v>
      </c>
      <c r="D28" s="27" t="n">
        <v>18</v>
      </c>
      <c r="E28" s="28" t="n">
        <v>98.6</v>
      </c>
      <c r="F28" s="27" t="n">
        <v>582</v>
      </c>
      <c r="G28" s="17" t="s">
        <v>864</v>
      </c>
      <c r="H28" s="27" t="n">
        <v>54</v>
      </c>
      <c r="I28" s="27" t="n">
        <v>54</v>
      </c>
    </row>
    <row r="29" customFormat="false" ht="15" hidden="false" customHeight="false" outlineLevel="0" collapsed="false">
      <c r="A29" s="9" t="s">
        <v>866</v>
      </c>
      <c r="B29" s="2" t="s">
        <v>844</v>
      </c>
      <c r="C29" s="2" t="s">
        <v>867</v>
      </c>
      <c r="D29" s="23" t="n">
        <v>72</v>
      </c>
      <c r="E29" s="26" t="n">
        <v>149.8</v>
      </c>
      <c r="F29" s="23" t="n">
        <v>390</v>
      </c>
      <c r="G29" s="2" t="s">
        <v>868</v>
      </c>
      <c r="H29" s="23" t="n">
        <v>216</v>
      </c>
      <c r="I29" s="23" t="n">
        <v>216</v>
      </c>
    </row>
    <row r="30" customFormat="false" ht="15" hidden="false" customHeight="false" outlineLevel="0" collapsed="false">
      <c r="A30" s="2"/>
      <c r="B30" s="2" t="s">
        <v>847</v>
      </c>
      <c r="C30" s="2" t="s">
        <v>869</v>
      </c>
      <c r="D30" s="23" t="n">
        <v>34</v>
      </c>
      <c r="E30" s="26" t="n">
        <v>146.2</v>
      </c>
      <c r="F30" s="23" t="n">
        <v>415</v>
      </c>
      <c r="G30" s="2" t="s">
        <v>870</v>
      </c>
      <c r="H30" s="23" t="n">
        <v>102</v>
      </c>
      <c r="I30" s="23" t="n">
        <v>102</v>
      </c>
    </row>
    <row r="31" customFormat="false" ht="15" hidden="false" customHeight="false" outlineLevel="0" collapsed="false">
      <c r="A31" s="2"/>
      <c r="B31" s="2" t="s">
        <v>850</v>
      </c>
      <c r="C31" s="2" t="s">
        <v>871</v>
      </c>
      <c r="D31" s="23" t="n">
        <v>18</v>
      </c>
      <c r="E31" s="26" t="n">
        <v>145.8</v>
      </c>
      <c r="F31" s="23" t="n">
        <v>495</v>
      </c>
      <c r="G31" s="2" t="s">
        <v>872</v>
      </c>
      <c r="H31" s="23" t="n">
        <v>54</v>
      </c>
      <c r="I31" s="23" t="n">
        <v>54</v>
      </c>
    </row>
    <row r="32" customFormat="false" ht="23.85" hidden="false" customHeight="false" outlineLevel="0" collapsed="false">
      <c r="A32" s="17"/>
      <c r="B32" s="17" t="s">
        <v>853</v>
      </c>
      <c r="C32" s="17" t="s">
        <v>873</v>
      </c>
      <c r="D32" s="27" t="n">
        <v>9</v>
      </c>
      <c r="E32" s="28" t="n">
        <v>143.5</v>
      </c>
      <c r="F32" s="27" t="n">
        <v>665</v>
      </c>
      <c r="G32" s="17" t="s">
        <v>874</v>
      </c>
      <c r="H32" s="27" t="n">
        <v>18</v>
      </c>
      <c r="I32" s="27" t="n">
        <v>27</v>
      </c>
      <c r="J32" s="16" t="s">
        <v>875</v>
      </c>
    </row>
    <row r="33" customFormat="false" ht="15" hidden="false" customHeight="false" outlineLevel="0" collapsed="false">
      <c r="A33" s="9" t="s">
        <v>876</v>
      </c>
      <c r="B33" s="2" t="s">
        <v>844</v>
      </c>
      <c r="C33" s="2" t="s">
        <v>877</v>
      </c>
      <c r="D33" s="23" t="n">
        <v>288</v>
      </c>
      <c r="E33" s="26" t="n">
        <v>17.4</v>
      </c>
      <c r="F33" s="23" t="n">
        <v>300</v>
      </c>
      <c r="G33" s="2" t="s">
        <v>878</v>
      </c>
      <c r="H33" s="23" t="n">
        <v>3456</v>
      </c>
      <c r="I33" s="23" t="n">
        <v>3456</v>
      </c>
    </row>
    <row r="34" customFormat="false" ht="15" hidden="false" customHeight="false" outlineLevel="0" collapsed="false">
      <c r="A34" s="2"/>
      <c r="B34" s="2" t="s">
        <v>847</v>
      </c>
      <c r="C34" s="2" t="s">
        <v>879</v>
      </c>
      <c r="D34" s="23" t="n">
        <v>88</v>
      </c>
      <c r="E34" s="26" t="n">
        <v>19.7</v>
      </c>
      <c r="F34" s="23" t="n">
        <v>300</v>
      </c>
      <c r="G34" s="2" t="s">
        <v>878</v>
      </c>
      <c r="H34" s="23" t="n">
        <v>1056</v>
      </c>
      <c r="I34" s="23" t="n">
        <v>1056</v>
      </c>
    </row>
    <row r="35" customFormat="false" ht="15" hidden="false" customHeight="false" outlineLevel="0" collapsed="false">
      <c r="A35" s="2"/>
      <c r="B35" s="2" t="s">
        <v>850</v>
      </c>
      <c r="C35" s="2" t="s">
        <v>880</v>
      </c>
      <c r="D35" s="23" t="n">
        <v>48</v>
      </c>
      <c r="E35" s="26" t="n">
        <v>19.3</v>
      </c>
      <c r="F35" s="23" t="n">
        <v>300</v>
      </c>
      <c r="G35" s="2" t="s">
        <v>878</v>
      </c>
      <c r="H35" s="23" t="n">
        <v>576</v>
      </c>
      <c r="I35" s="23" t="n">
        <v>576</v>
      </c>
    </row>
    <row r="36" customFormat="false" ht="15" hidden="false" customHeight="false" outlineLevel="0" collapsed="false">
      <c r="A36" s="17"/>
      <c r="B36" s="17" t="s">
        <v>853</v>
      </c>
      <c r="C36" s="17" t="s">
        <v>881</v>
      </c>
      <c r="D36" s="27" t="n">
        <v>27</v>
      </c>
      <c r="E36" s="28" t="n">
        <v>18.4</v>
      </c>
      <c r="F36" s="27" t="n">
        <v>300</v>
      </c>
      <c r="G36" s="17" t="s">
        <v>878</v>
      </c>
      <c r="H36" s="27" t="n">
        <v>324</v>
      </c>
      <c r="I36" s="27" t="n">
        <v>324</v>
      </c>
    </row>
    <row r="37" customFormat="false" ht="15" hidden="false" customHeight="false" outlineLevel="0" collapsed="false">
      <c r="A37" s="9" t="s">
        <v>882</v>
      </c>
      <c r="B37" s="2" t="s">
        <v>844</v>
      </c>
      <c r="C37" s="2" t="s">
        <v>877</v>
      </c>
      <c r="D37" s="23" t="n">
        <v>288</v>
      </c>
      <c r="E37" s="26" t="n">
        <v>14.5</v>
      </c>
      <c r="F37" s="23" t="n">
        <v>300</v>
      </c>
      <c r="G37" s="2" t="s">
        <v>878</v>
      </c>
      <c r="H37" s="23" t="n">
        <v>3456</v>
      </c>
      <c r="I37" s="23" t="n">
        <v>3456</v>
      </c>
    </row>
    <row r="38" customFormat="false" ht="15" hidden="false" customHeight="false" outlineLevel="0" collapsed="false">
      <c r="A38" s="2"/>
      <c r="B38" s="2" t="s">
        <v>847</v>
      </c>
      <c r="C38" s="2" t="s">
        <v>883</v>
      </c>
      <c r="D38" s="23" t="n">
        <v>80</v>
      </c>
      <c r="E38" s="26" t="n">
        <v>19.8</v>
      </c>
      <c r="F38" s="23" t="n">
        <v>300</v>
      </c>
      <c r="G38" s="2" t="s">
        <v>878</v>
      </c>
      <c r="H38" s="23" t="n">
        <v>960</v>
      </c>
      <c r="I38" s="23" t="n">
        <v>960</v>
      </c>
    </row>
    <row r="39" customFormat="false" ht="15" hidden="false" customHeight="false" outlineLevel="0" collapsed="false">
      <c r="A39" s="2"/>
      <c r="B39" s="2" t="s">
        <v>850</v>
      </c>
      <c r="C39" s="2" t="s">
        <v>884</v>
      </c>
      <c r="D39" s="23" t="n">
        <v>36</v>
      </c>
      <c r="E39" s="26" t="n">
        <v>18.1</v>
      </c>
      <c r="F39" s="23" t="n">
        <v>300</v>
      </c>
      <c r="G39" s="2" t="s">
        <v>878</v>
      </c>
      <c r="H39" s="23" t="n">
        <v>432</v>
      </c>
      <c r="I39" s="23" t="n">
        <v>432</v>
      </c>
    </row>
    <row r="40" customFormat="false" ht="15" hidden="false" customHeight="false" outlineLevel="0" collapsed="false">
      <c r="A40" s="17"/>
      <c r="B40" s="17" t="s">
        <v>853</v>
      </c>
      <c r="C40" s="17" t="s">
        <v>885</v>
      </c>
      <c r="D40" s="27" t="n">
        <v>21</v>
      </c>
      <c r="E40" s="28" t="n">
        <v>17.9</v>
      </c>
      <c r="F40" s="27" t="n">
        <v>300</v>
      </c>
      <c r="G40" s="17" t="s">
        <v>878</v>
      </c>
      <c r="H40" s="27" t="n">
        <v>252</v>
      </c>
      <c r="I40" s="27" t="n">
        <v>252</v>
      </c>
    </row>
    <row r="41" customFormat="false" ht="23.85" hidden="false" customHeight="false" outlineLevel="0" collapsed="false">
      <c r="A41" s="9" t="s">
        <v>886</v>
      </c>
      <c r="B41" s="2" t="s">
        <v>844</v>
      </c>
      <c r="C41" s="2" t="s">
        <v>887</v>
      </c>
      <c r="D41" s="23" t="n">
        <v>100</v>
      </c>
      <c r="E41" s="26" t="n">
        <v>8</v>
      </c>
      <c r="F41" s="23" t="n">
        <v>300</v>
      </c>
      <c r="G41" s="2" t="s">
        <v>878</v>
      </c>
      <c r="H41" s="23" t="n">
        <v>1200</v>
      </c>
      <c r="I41" s="23" t="n">
        <v>1200</v>
      </c>
    </row>
    <row r="42" customFormat="false" ht="23.85" hidden="false" customHeight="false" outlineLevel="0" collapsed="false">
      <c r="A42" s="2"/>
      <c r="B42" s="2" t="s">
        <v>847</v>
      </c>
      <c r="C42" s="2" t="s">
        <v>887</v>
      </c>
      <c r="D42" s="23" t="n">
        <v>40</v>
      </c>
      <c r="E42" s="26" t="n">
        <v>13.5</v>
      </c>
      <c r="F42" s="23" t="n">
        <v>300</v>
      </c>
      <c r="G42" s="2" t="s">
        <v>878</v>
      </c>
      <c r="H42" s="23" t="n">
        <v>480</v>
      </c>
      <c r="I42" s="23" t="n">
        <v>480</v>
      </c>
    </row>
    <row r="43" customFormat="false" ht="23.85" hidden="false" customHeight="false" outlineLevel="0" collapsed="false">
      <c r="A43" s="2"/>
      <c r="B43" s="2" t="s">
        <v>850</v>
      </c>
      <c r="C43" s="2" t="s">
        <v>887</v>
      </c>
      <c r="D43" s="23" t="n">
        <v>30</v>
      </c>
      <c r="E43" s="26" t="n">
        <v>18.8</v>
      </c>
      <c r="F43" s="23" t="n">
        <v>300</v>
      </c>
      <c r="G43" s="2" t="s">
        <v>878</v>
      </c>
      <c r="H43" s="23" t="n">
        <v>360</v>
      </c>
      <c r="I43" s="23" t="n">
        <v>360</v>
      </c>
    </row>
    <row r="44" customFormat="false" ht="23.85" hidden="false" customHeight="false" outlineLevel="0" collapsed="false">
      <c r="A44" s="17"/>
      <c r="B44" s="17" t="s">
        <v>853</v>
      </c>
      <c r="C44" s="17" t="s">
        <v>887</v>
      </c>
      <c r="D44" s="27" t="n">
        <v>19</v>
      </c>
      <c r="E44" s="28" t="n">
        <v>19.9</v>
      </c>
      <c r="F44" s="27" t="n">
        <v>300</v>
      </c>
      <c r="G44" s="17" t="s">
        <v>878</v>
      </c>
      <c r="H44" s="27" t="n">
        <v>228</v>
      </c>
      <c r="I44" s="27" t="n">
        <v>228</v>
      </c>
    </row>
    <row r="46" customFormat="false" ht="32.8" hidden="false" customHeight="false" outlineLevel="0" collapsed="false">
      <c r="A46" s="25" t="s">
        <v>888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2026-10-25T00:37:58Z</dcterms:created>
  <dc:creator>openpyxl</dc:creator>
  <dc:description/>
  <dc:language>en-US</dc:language>
  <cp:lastModifiedBy/>
  <dcterms:modified xsi:type="dcterms:W3CDTF">2026-10-25T00:37:59Z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