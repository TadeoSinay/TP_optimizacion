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mpartidos" sheetId="2" state="visible" r:id="rId4"/>
    <sheet name="Manuales" sheetId="3" state="visible" r:id="rId5"/>
    <sheet name="Carros" sheetId="4" state="visible" r:id="rId6"/>
    <sheet name="Recargas" sheetId="5" state="visible" r:id="rId7"/>
    <sheet name="Referencias" sheetId="6" state="visible" r:id="rId8"/>
    <sheet name="Pulmones" sheetId="7" state="visible" r:id="rId9"/>
    <sheet name="Estantes y carro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<sst xmlns="http://schemas.openxmlformats.org/spreadsheetml/2006/main" count="4136" uniqueCount="2103">
  <si>
    <t xml:space="preserve">RESUMEN — huella de lo que va en cada puesto (sin circulación)</t>
  </si>
  <si>
    <t xml:space="preserve">Suma de las huellas con medida. Lo que está en rojo sin medida no suma.</t>
  </si>
  <si>
    <t xml:space="preserve">Puesto</t>
  </si>
  <si>
    <t xml:space="preserve">Huella de lo que va adentro (m²)</t>
  </si>
  <si>
    <t xml:space="preserve">COMPARTIDOS</t>
  </si>
  <si>
    <t xml:space="preserve">CORTE — guillotina 1 (franjas) · Manuales 2 y Carros 2</t>
  </si>
  <si>
    <t xml:space="preserve">CORTE — guillotina 2 (piezas) · Manuales 3 y Carros 2</t>
  </si>
  <si>
    <t xml:space="preserve">MARCADO DEL CUERPO · Manuales 6 y Carros 2.1</t>
  </si>
  <si>
    <t xml:space="preserve">PRUEBA HIDRÁULICA · Manuales 15 y Carros 9</t>
  </si>
  <si>
    <t xml:space="preserve">SECADO · Manuales 16 y Carros 10</t>
  </si>
  <si>
    <t xml:space="preserve">Total Compartidos</t>
  </si>
  <si>
    <t xml:space="preserve">MANUALES</t>
  </si>
  <si>
    <t xml:space="preserve">4. Corte de disco y embutido (cúpula y fondo)</t>
  </si>
  <si>
    <t xml:space="preserve">5. Preparación de cuello</t>
  </si>
  <si>
    <t xml:space="preserve">7. Soldadura del cuello a la cúpula</t>
  </si>
  <si>
    <t xml:space="preserve">8. Cilindrado</t>
  </si>
  <si>
    <t xml:space="preserve">9. Soldadura longitudinal — 2,5 a 10 kg</t>
  </si>
  <si>
    <t xml:space="preserve">10. Soldadura longitudinal TIG — 1 kg</t>
  </si>
  <si>
    <t xml:space="preserve">11. Encastre de fondo</t>
  </si>
  <si>
    <t xml:space="preserve">12. Bordoneado</t>
  </si>
  <si>
    <t xml:space="preserve">13. Soldadura circunferencial de cúpula y fondo</t>
  </si>
  <si>
    <t xml:space="preserve">14. Control de calidad — Espesor</t>
  </si>
  <si>
    <t xml:space="preserve">17. Granallado</t>
  </si>
  <si>
    <t xml:space="preserve">18. Detección de defectos</t>
  </si>
  <si>
    <t xml:space="preserve">19. Corrección de defectos</t>
  </si>
  <si>
    <t xml:space="preserve">20. Pintura en polvo + horno</t>
  </si>
  <si>
    <t xml:space="preserve">21. Carga de polvo</t>
  </si>
  <si>
    <t xml:space="preserve">22. Ensamblaje</t>
  </si>
  <si>
    <t xml:space="preserve">23. Presurización</t>
  </si>
  <si>
    <t xml:space="preserve">24. Control de calidad — Ensayo de pérdidas</t>
  </si>
  <si>
    <t xml:space="preserve">25. Etiquetado</t>
  </si>
  <si>
    <t xml:space="preserve">26. Embalaje y paletizado</t>
  </si>
  <si>
    <t xml:space="preserve">Total Manuales</t>
  </si>
  <si>
    <t xml:space="preserve">CARROS</t>
  </si>
  <si>
    <t xml:space="preserve">3. Cilindrado</t>
  </si>
  <si>
    <t xml:space="preserve">4. Punteo del cuerpo</t>
  </si>
  <si>
    <t xml:space="preserve">5. Soldadura longitudinal</t>
  </si>
  <si>
    <t xml:space="preserve">6. Soldadura de cupla en la cúpula</t>
  </si>
  <si>
    <t xml:space="preserve">7. Armado y soldadura circunferencial</t>
  </si>
  <si>
    <t xml:space="preserve">8. Soldadura de accesorios</t>
  </si>
  <si>
    <t xml:space="preserve">8.1. Fabricación de accesorios</t>
  </si>
  <si>
    <t xml:space="preserve">11. Pulmón de despacho y carga a pintura</t>
  </si>
  <si>
    <t xml:space="preserve">12. Recepción de pintados y cambio de juego</t>
  </si>
  <si>
    <t xml:space="preserve">13 B. Carga de polvo y presurización</t>
  </si>
  <si>
    <t xml:space="preserve">13 A-C / 15. Montaje, manga, precinto y etiquetado</t>
  </si>
  <si>
    <t xml:space="preserve">14-17. Calidad: pérdidas, inspección final, liberación y ensayos de lote</t>
  </si>
  <si>
    <t xml:space="preserve">Total Carros</t>
  </si>
  <si>
    <t xml:space="preserve">RECARGAS</t>
  </si>
  <si>
    <t xml:space="preserve">R1. Recepción y registro</t>
  </si>
  <si>
    <t xml:space="preserve">R2. Inspección visual</t>
  </si>
  <si>
    <t xml:space="preserve">R3. Descarga ABC — ruta recuperable</t>
  </si>
  <si>
    <t xml:space="preserve">R4. Descarga a descarte (ABC, BC y Clase D)</t>
  </si>
  <si>
    <t xml:space="preserve">R5. Descarga y carga de agua / AFFF / sales K</t>
  </si>
  <si>
    <t xml:space="preserve">R6. Recuperación y carga de CO₂</t>
  </si>
  <si>
    <t xml:space="preserve">R7. Recuperación y carga de halogenado</t>
  </si>
  <si>
    <t xml:space="preserve">R8. Desarme y limpieza — recinto</t>
  </si>
  <si>
    <t xml:space="preserve">R9. Desarme e inspección interior — zona general</t>
  </si>
  <si>
    <t xml:space="preserve">R10. Laboratorio — Puffer y mufla</t>
  </si>
  <si>
    <t xml:space="preserve">R11. Prueba hidráulica</t>
  </si>
  <si>
    <t xml:space="preserve">R12. Secado</t>
  </si>
  <si>
    <t xml:space="preserve">R13. Inspección interior con videoscopio</t>
  </si>
  <si>
    <t xml:space="preserve">R14. Pintura</t>
  </si>
  <si>
    <t xml:space="preserve">R15. Carga de polvo ABC, BC y Clase D</t>
  </si>
  <si>
    <t xml:space="preserve">R16. Ensamblaje y marbete — recinto</t>
  </si>
  <si>
    <t xml:space="preserve">R17. Presurización — recinto</t>
  </si>
  <si>
    <t xml:space="preserve">R18. Ensamblaje y presurización — zona general</t>
  </si>
  <si>
    <t xml:space="preserve">R19. Control de peso (CO₂ y halogenados sin recarga)</t>
  </si>
  <si>
    <t xml:space="preserve">R20. Ensayo de pérdidas</t>
  </si>
  <si>
    <t xml:space="preserve">R21. Precinto, etiqueta y despacho</t>
  </si>
  <si>
    <t xml:space="preserve">R22. Inutilización y disposición final</t>
  </si>
  <si>
    <t xml:space="preserve">R23. PH de mangueras (CO₂ y rodantes)</t>
  </si>
  <si>
    <t xml:space="preserve">PULMONES DE ENTRADA Y SALIDA DE RECARGAS</t>
  </si>
  <si>
    <t xml:space="preserve">Total Recargas</t>
  </si>
  <si>
    <t xml:space="preserve">TOTAL SIN ALMACENES</t>
  </si>
  <si>
    <t xml:space="preserve">PUESTOS COMPARTIDOS — los usan manuales y carros</t>
  </si>
  <si>
    <t xml:space="preserve">Cada número es una fórmula a la hoja Referencias (la columna «Referencias» dice qué filas). Gris = puesto: máquinas y turnos del Balanceo y la suma de las huellas. Rojo = no está en las fuentes.</t>
  </si>
  <si>
    <t xml:space="preserve">Puesto / ítem</t>
  </si>
  <si>
    <t xml:space="preserve">Lo usa</t>
  </si>
  <si>
    <t xml:space="preserve">Cant.</t>
  </si>
  <si>
    <t xml:space="preserve">Ancho (m)</t>
  </si>
  <si>
    <t xml:space="preserve">Largo (m)</t>
  </si>
  <si>
    <t xml:space="preserve">Alto (m)</t>
  </si>
  <si>
    <t xml:space="preserve">Huella (m²)</t>
  </si>
  <si>
    <t xml:space="preserve">Uso</t>
  </si>
  <si>
    <t xml:space="preserve">Referencias</t>
  </si>
  <si>
    <t xml:space="preserve">Documento y lugar de las medidas</t>
  </si>
  <si>
    <t xml:space="preserve">Link medidas</t>
  </si>
  <si>
    <t xml:space="preserve">Documento y lugar de la cantidad</t>
  </si>
  <si>
    <t xml:space="preserve">Link cantidad</t>
  </si>
  <si>
    <t xml:space="preserve">A confirmar</t>
  </si>
  <si>
    <t xml:space="preserve">R163, R231, R232, R233</t>
  </si>
  <si>
    <t xml:space="preserve">Balanceo-FLAMA2035.xlsx (Fran) · hoja Carga, celda R35 · Balanceo-FLAMA2035.xlsx (Fran) · hoja Carga, celda M75</t>
  </si>
  <si>
    <t xml:space="preserve">https://drive.google.com/file/d/1SwGuppOSsaAXO29onhyWUH40O1h_4XmG/view</t>
  </si>
  <si>
    <t xml:space="preserve">   Guillotina 1 Ermaksan HGS 2600-6</t>
  </si>
  <si>
    <t xml:space="preserve">Los dos</t>
  </si>
  <si>
    <t xml:space="preserve">corte 2.600 mm, hasta 6 mm</t>
  </si>
  <si>
    <t xml:space="preserve">R163, R015, R014, R016</t>
  </si>
  <si>
    <t xml:space="preserve">Internet · aviso ERMAK HGS 2600 X 6 (Exapro) · datos técnicos del aviso</t>
  </si>
  <si>
    <t xml:space="preserve">https://www.exapro.com/ermak-hgs-2600-x-6-p240816233/</t>
  </si>
  <si>
    <t xml:space="preserve">Balanceo-FLAMA2035.xlsx (Fran) · hoja Carga, celda R35</t>
  </si>
  <si>
    <t xml:space="preserve">Modelo: R164. Medidas de avisos de venta. Sin el tope trasero</t>
  </si>
  <si>
    <t xml:space="preserve">R165, R234, R232, R233</t>
  </si>
  <si>
    <t xml:space="preserve">Balanceo-FLAMA2035.xlsx (Fran) · hoja Carga, celda R36 · Balanceo-FLAMA2035.xlsx (Fran) · hoja Carga, celda M75</t>
  </si>
  <si>
    <t xml:space="preserve">   Guillotina 2 QC12Y 6 × 2500</t>
  </si>
  <si>
    <t xml:space="preserve">corte 2.500 mm, hasta 6 mm</t>
  </si>
  <si>
    <t xml:space="preserve">R165, R018, R017, R019</t>
  </si>
  <si>
    <t xml:space="preserve">Internet · ficha QC12Y-6X2500 (goldsupplier) · tabla de especificaciones</t>
  </si>
  <si>
    <t xml:space="preserve">https://www.goldsupplier.com/provide/p106252035.html</t>
  </si>
  <si>
    <t xml:space="preserve">Balanceo-FLAMA2035.xlsx (Fran) · hoja Carga, celda R36</t>
  </si>
  <si>
    <t xml:space="preserve">Modelo: R166. Sin el tope trasero</t>
  </si>
  <si>
    <t xml:space="preserve">   Mesa elevadora 2 = pulmón de franjas</t>
  </si>
  <si>
    <t xml:space="preserve">mesa de tijera 3.000 kg (equivalente)</t>
  </si>
  <si>
    <t xml:space="preserve">R167, R024, R023, R025</t>
  </si>
  <si>
    <t xml:space="preserve">Internet · mesas de tijera de 3.000 kg (Workplace Products) · tabla de mesas de 3.000 kg</t>
  </si>
  <si>
    <t xml:space="preserve">https://www.workplace-products.co.uk/media/wysiwyg/infographics/handling-lifting/3000KG%20SINGLE%20SCISSOR%20LIFT%20TABLES.pdf</t>
  </si>
  <si>
    <t xml:space="preserve">PULMONES-FLAMA2035.xlsx (Fran) · hoja Pulmones, celda I6</t>
  </si>
  <si>
    <t xml:space="preserve">https://drive.google.com/file/d/1CxHINAnd0jSBd5QuU5_82_sKCJAVXu9r/view</t>
  </si>
  <si>
    <t xml:space="preserve">La hoja más grande no entra: R168</t>
  </si>
  <si>
    <t xml:space="preserve">   Carro porta-bandejas: desarrollos → marcado del cuerpo</t>
  </si>
  <si>
    <t xml:space="preserve">a confirmar</t>
  </si>
  <si>
    <t xml:space="preserve">3 bandejas 1.200 × 600; espera en el origen</t>
  </si>
  <si>
    <t xml:space="preserve">R169, R005, R004</t>
  </si>
  <si>
    <t xml:space="preserve">PULMONES-FLAMA2035.xlsx (Fran) · hoja Parametros, celda D42</t>
  </si>
  <si>
    <t xml:space="preserve">PULMONES-FLAMA2035.xlsx (Fran) · hoja Pulmones, celda S7</t>
  </si>
  <si>
    <t xml:space="preserve">Alto del carro</t>
  </si>
  <si>
    <t xml:space="preserve">R170, R235, R236, R237</t>
  </si>
  <si>
    <t xml:space="preserve">Balanceo-FLAMA2035.xlsx (Fran) · hoja Carga, celda R39 · Balanceo-FLAMA2035.xlsx (Fran) · hoja Carga, celda M76</t>
  </si>
  <si>
    <t xml:space="preserve">   Marcadora Firesafer FS-0001</t>
  </si>
  <si>
    <t xml:space="preserve">cotizada (ítem 26, coding machine)</t>
  </si>
  <si>
    <t xml:space="preserve">R170, R069, R068, R070</t>
  </si>
  <si>
    <t xml:space="preserve">Catálogo Firesafer · FS Cylinder Production.pdf · ficha FS-0001, Dimensions</t>
  </si>
  <si>
    <t xml:space="preserve">https://drive.google.com/file/d/12VJ8POMn2I0VnGP2nnL7FZAyA2cLw37y/view</t>
  </si>
  <si>
    <t xml:space="preserve">Balanceo-FLAMA2035.xlsx (Fran) · hoja Carga, celda R39</t>
  </si>
  <si>
    <t xml:space="preserve">Falta definir el método (micropercusión o láser)</t>
  </si>
  <si>
    <t xml:space="preserve">   Estante: desarrollos (pulmón)</t>
  </si>
  <si>
    <t xml:space="preserve">Estante: pilas por modelo sobre bandejas; máx. 1505 u</t>
  </si>
  <si>
    <t xml:space="preserve">R171, R002, R001, R003</t>
  </si>
  <si>
    <t xml:space="preserve">PULMONES-FLAMA2035.xlsx (Fran) · hoja Parametros, celda B7</t>
  </si>
  <si>
    <t xml:space="preserve">PULMONES-FLAMA2035.xlsx (Fran) · hoja Pulmones, celda O7</t>
  </si>
  <si>
    <t xml:space="preserve">R172, R238, R173, R239</t>
  </si>
  <si>
    <t xml:space="preserve">Balanceo-FLAMA2035.xlsx (Fran) · hoja Carga, celda R48 · Balanceo-FLAMA2035.xlsx (Fran) · hoja Carga, celda M84</t>
  </si>
  <si>
    <t xml:space="preserve">   Máquina de PH Yukon M-000200 (manuales)</t>
  </si>
  <si>
    <t xml:space="preserve">sin mesa</t>
  </si>
  <si>
    <t xml:space="preserve">R172, R072, R071, R073</t>
  </si>
  <si>
    <t xml:space="preserve">Cotización Yukon · Ficha Maq. P.H. M-000200 · Características técnicas sin mesa</t>
  </si>
  <si>
    <t xml:space="preserve">https://drive.google.com/file/d/1DD4vE8sv9Qt4VWxQzgCuqXfTtXliDViB/view</t>
  </si>
  <si>
    <t xml:space="preserve">Balanceo-FLAMA2035.xlsx (Fran) · hoja Carga, celda R48</t>
  </si>
  <si>
    <t xml:space="preserve">Falta el alto de la mesa</t>
  </si>
  <si>
    <t xml:space="preserve">   Máquina de PH Yukon M-000200 (carros)</t>
  </si>
  <si>
    <t xml:space="preserve">R173, R072, R071, R073</t>
  </si>
  <si>
    <t xml:space="preserve">Balanceo-FLAMA2035.xlsx (Fran) · hoja Carga, celda M84</t>
  </si>
  <si>
    <t xml:space="preserve">   Carro porta-bandejas: cilindros mojados → secado</t>
  </si>
  <si>
    <t xml:space="preserve">R174, R005, R004</t>
  </si>
  <si>
    <t xml:space="preserve">PULMONES-FLAMA2035.xlsx (Fran) · hoja Pulmones, celda S17</t>
  </si>
  <si>
    <t xml:space="preserve">R175, R240, R176, R241</t>
  </si>
  <si>
    <t xml:space="preserve">Balanceo-FLAMA2035.xlsx (Fran) · hoja Carga, celda R49 · Balanceo-FLAMA2035.xlsx (Fran) · hoja Carga, celda M85</t>
  </si>
  <si>
    <t xml:space="preserve">   Secadora Firesafer FS-D4 (manuales)</t>
  </si>
  <si>
    <t xml:space="preserve">4 bocas</t>
  </si>
  <si>
    <t xml:space="preserve">R175, R075, R074, R076</t>
  </si>
  <si>
    <t xml:space="preserve">Catálogo Firesafer · FS 2026 SERVICE LISTS 05.pdf · ficha FS-D4</t>
  </si>
  <si>
    <t xml:space="preserve">https://drive.google.com/file/d/1BvF9XAzfgpqw7VGH9EFjVisbBKNz9KFx/view</t>
  </si>
  <si>
    <t xml:space="preserve">Balanceo-FLAMA2035.xlsx (Fran) · hoja Carga, celda R49</t>
  </si>
  <si>
    <t xml:space="preserve">Elegida por función: no hay cotización de secado</t>
  </si>
  <si>
    <t xml:space="preserve">   Secadora Firesafer FS-D4 (carros)</t>
  </si>
  <si>
    <t xml:space="preserve">R176, R075, R074, R076</t>
  </si>
  <si>
    <t xml:space="preserve">Balanceo-FLAMA2035.xlsx (Fran) · hoja Carga, celda M85</t>
  </si>
  <si>
    <t xml:space="preserve">   Carro porta-bandejas: cilindros secos → granallado</t>
  </si>
  <si>
    <t xml:space="preserve">R177, R005, R004</t>
  </si>
  <si>
    <t xml:space="preserve">PULMONES-FLAMA2035.xlsx (Fran) · hoja Pulmones, celda S18</t>
  </si>
  <si>
    <t xml:space="preserve">MANUALES — lo que va dentro de cada puesto</t>
  </si>
  <si>
    <t xml:space="preserve">R113, R196</t>
  </si>
  <si>
    <t xml:space="preserve">Balanceo-FLAMA2035.xlsx (Fran) · hoja Carga, celda R37</t>
  </si>
  <si>
    <t xml:space="preserve">   Prensa Sangiacomo (T130 R)</t>
  </si>
  <si>
    <t xml:space="preserve">130 t, mesa 1.200 × 700 mm</t>
  </si>
  <si>
    <t xml:space="preserve">R113, R021, R020, R022</t>
  </si>
  <si>
    <t xml:space="preserve">Internet · aviso Sangiacomo T130 R CE (Exapro) · datos técnicos del aviso</t>
  </si>
  <si>
    <t xml:space="preserve">https://www.exapro.com/sp/sangiacomo-t130rce-19888</t>
  </si>
  <si>
    <t xml:space="preserve">Fran nombra «Prensa Sangiacomo» (Balanceo › Lotes A42) sin modelo: se toma la T130 R</t>
  </si>
  <si>
    <t xml:space="preserve">   Desbobinador CENA TC-400</t>
  </si>
  <si>
    <t xml:space="preserve">fleje hasta 400 mm, rollo hasta 1.500 kg</t>
  </si>
  <si>
    <t xml:space="preserve">R113, R027, R026, R028</t>
  </si>
  <si>
    <t xml:space="preserve">Cotización CENA · Devobinador CENA SRL 2026.pdf · pág. 1, tabla del desbobinador, fila Dimensiones</t>
  </si>
  <si>
    <t xml:space="preserve">https://drive.google.com/file/d/1vnSpthna2z5ooZpg7lA9GT3m9wSFvEh6/view</t>
  </si>
  <si>
    <t xml:space="preserve">Se elige por el rollo más pesado: R114 (la TC-300 llega a 1.000 kg)</t>
  </si>
  <si>
    <t xml:space="preserve">   Enderezadora CENA SC-300</t>
  </si>
  <si>
    <t xml:space="preserve">fleje hasta 300 mm</t>
  </si>
  <si>
    <t xml:space="preserve">R113, R030, R029, R031</t>
  </si>
  <si>
    <t xml:space="preserve">Cotización CENA · Devobinador CENA SRL 2026.pdf · pág. 2, tabla SC, fila Dimensiones</t>
  </si>
  <si>
    <t xml:space="preserve">Se elige por el fleje más ancho: R115</t>
  </si>
  <si>
    <t xml:space="preserve">   Rack de fondos y cúpulas (supermercado, pulmón)</t>
  </si>
  <si>
    <t xml:space="preserve">vano de 2,7 m × 3 niveles, pallets 1.200 × 800</t>
  </si>
  <si>
    <t xml:space="preserve">R009, R008, R007</t>
  </si>
  <si>
    <t xml:space="preserve">PULMONES-FLAMA2035.xlsx (Fran) · hoja Parametros, celda B56</t>
  </si>
  <si>
    <t xml:space="preserve">PULMONES-FLAMA2035.xlsx (Fran) · hoja Equipos, celda B12</t>
  </si>
  <si>
    <t xml:space="preserve">Alto del rack</t>
  </si>
  <si>
    <t xml:space="preserve">   Carro de 12 cajones: fondos</t>
  </si>
  <si>
    <t xml:space="preserve">4 niveles de 3 cajones 600 × 400 × 300</t>
  </si>
  <si>
    <t xml:space="preserve">R116, R005, R004</t>
  </si>
  <si>
    <t xml:space="preserve">PULMONES-FLAMA2035.xlsx (Fran) · hoja Pulmones, celda S10</t>
  </si>
  <si>
    <t xml:space="preserve">Fran no da su medida: pide igual al porta-bandejas si no sirve el que hay (R006). Alto del carro</t>
  </si>
  <si>
    <t xml:space="preserve">   Carro de 12 cajones: cúpulas</t>
  </si>
  <si>
    <t xml:space="preserve">R117, R005, R004</t>
  </si>
  <si>
    <t xml:space="preserve">PULMONES-FLAMA2035.xlsx (Fran) · hoja Pulmones, celda S11</t>
  </si>
  <si>
    <t xml:space="preserve">R118, R197</t>
  </si>
  <si>
    <t xml:space="preserve">Balanceo-FLAMA2035.xlsx (Fran) · hoja Carga, celda R38</t>
  </si>
  <si>
    <t xml:space="preserve">   Prensa de muesca del cuello</t>
  </si>
  <si>
    <t xml:space="preserve">R118</t>
  </si>
  <si>
    <t xml:space="preserve">No hay cotización ni dato de Fran para este equipo</t>
  </si>
  <si>
    <t xml:space="preserve">R119, R198</t>
  </si>
  <si>
    <t xml:space="preserve">Balanceo-FLAMA2035.xlsx (Fran) · hoja Carga, celda R40</t>
  </si>
  <si>
    <t xml:space="preserve">   Soldadora de cuello Firesafer FS-HPM</t>
  </si>
  <si>
    <t xml:space="preserve">plato divisor, 12 pzas/min</t>
  </si>
  <si>
    <t xml:space="preserve">R119, R033, R032, R034</t>
  </si>
  <si>
    <t xml:space="preserve">Catálogo Firesafer · FS Cylinder Production.pdf · ficha FS-HPM, Dimensions</t>
  </si>
  <si>
    <t xml:space="preserve">Elegida por función (suelda el asiento de válvula en la cúpula); está en el catálogo, no en la cotización</t>
  </si>
  <si>
    <t xml:space="preserve">   Estante: cúpulas (pulmón)</t>
  </si>
  <si>
    <t xml:space="preserve">Rack de pallets al lado de la prensa (la tanda) + estante en el puesto con la ola de mañana; máx. 6765 u</t>
  </si>
  <si>
    <t xml:space="preserve">R120, R002, R001, R003</t>
  </si>
  <si>
    <t xml:space="preserve">PULMONES-FLAMA2035.xlsx (Fran) · hoja Pulmones, celda O11</t>
  </si>
  <si>
    <t xml:space="preserve">   Carro de 12 cajones: cúpulas con cuello</t>
  </si>
  <si>
    <t xml:space="preserve">R121, R005, R004</t>
  </si>
  <si>
    <t xml:space="preserve">PULMONES-FLAMA2035.xlsx (Fran) · hoja Pulmones, celda S13</t>
  </si>
  <si>
    <t xml:space="preserve">R122, R199</t>
  </si>
  <si>
    <t xml:space="preserve">Balanceo-FLAMA2035.xlsx (Fran) · hoja Carga, celda R41</t>
  </si>
  <si>
    <t xml:space="preserve">   Roladora Firesafer FS-PM01</t>
  </si>
  <si>
    <t xml:space="preserve">Ø 50–163 mm, 10 pzas/min</t>
  </si>
  <si>
    <t xml:space="preserve">R122, R036, R035, R037</t>
  </si>
  <si>
    <t xml:space="preserve">Catálogo Firesafer · FS Cylinder Production.pdf · ficha FS-PM01, Dimensions</t>
  </si>
  <si>
    <t xml:space="preserve">Otras cotizaciones de roladora: Bästlein AK-BEND AS 70-10 «dimensions of the machine ca. 1700x700x1100 mm» · WMT OSTAS SM 700 × 76 «ca. 1,3 x 0,8 x 1,3» · Getweld 2 rodillos (sin medidas). Se pone la Firesafer, la más grande</t>
  </si>
  <si>
    <t xml:space="preserve">   Carro porta-bandejas: virolas → soldadura longitudinal</t>
  </si>
  <si>
    <t xml:space="preserve">R123, R005, R004</t>
  </si>
  <si>
    <t xml:space="preserve">PULMONES-FLAMA2035.xlsx (Fran) · hoja Pulmones, celda S8</t>
  </si>
  <si>
    <t xml:space="preserve">R124, R200</t>
  </si>
  <si>
    <t xml:space="preserve">Balanceo-FLAMA2035.xlsx (Fran) · hoja Carga, celda R42</t>
  </si>
  <si>
    <t xml:space="preserve">   Soldadora longitudinal Getweld ZF-500</t>
  </si>
  <si>
    <t xml:space="preserve">MIG, hasta 500 mm</t>
  </si>
  <si>
    <t xml:space="preserve">R124, R039, R038, R040</t>
  </si>
  <si>
    <t xml:space="preserve">Internet · ficha Z F 500 (china.org.ru) · tabla de la ficha</t>
  </si>
  <si>
    <t xml:space="preserve">https://china.org.ru/product/1607235162</t>
  </si>
  <si>
    <t xml:space="preserve">La cotización Getweld no da medidas; la ficha de internet no rotula las columnas</t>
  </si>
  <si>
    <t xml:space="preserve">   Estante: virolas (pulmón)</t>
  </si>
  <si>
    <t xml:space="preserve">Estante: parados en bandejas, un modelo por bandeja; máx. 607 u</t>
  </si>
  <si>
    <t xml:space="preserve">R125, R002, R001, R003</t>
  </si>
  <si>
    <t xml:space="preserve">PULMONES-FLAMA2035.xlsx (Fran) · hoja Pulmones, celda O8</t>
  </si>
  <si>
    <t xml:space="preserve">   Carro porta-bandejas: cuerpos soldados → encastre de fondo</t>
  </si>
  <si>
    <t xml:space="preserve">R013, R005, R004</t>
  </si>
  <si>
    <t xml:space="preserve">Pedido del grupo en la revisión del Excel · pedido en el chat de revisión</t>
  </si>
  <si>
    <t xml:space="preserve">Pulmones da 2 (R126); se pone 1 + soporte fijo (R013). Alto del carro</t>
  </si>
  <si>
    <t xml:space="preserve">R127, R201</t>
  </si>
  <si>
    <t xml:space="preserve">Balanceo-FLAMA2035.xlsx (Fran) · hoja Carga, celda R43</t>
  </si>
  <si>
    <t xml:space="preserve">   Soldadora longitudinal TIG 1 kg</t>
  </si>
  <si>
    <t xml:space="preserve">R127</t>
  </si>
  <si>
    <t xml:space="preserve">Sin medidas en las cotizaciones de la carpeta</t>
  </si>
  <si>
    <t xml:space="preserve">R128, R202</t>
  </si>
  <si>
    <t xml:space="preserve">Balanceo-FLAMA2035.xlsx (Fran) · hoja Carga, celda R44</t>
  </si>
  <si>
    <t xml:space="preserve">   Prensa de encastre de fondo 30 t</t>
  </si>
  <si>
    <t xml:space="preserve">Del Fabro 30 t motorizada</t>
  </si>
  <si>
    <t xml:space="preserve">R128</t>
  </si>
  <si>
    <t xml:space="preserve">La cotización es solo un link a Del Fabro que no carga; no se encontró la ficha</t>
  </si>
  <si>
    <t xml:space="preserve">   Estante: cuerpos soldados (pulmón)</t>
  </si>
  <si>
    <t xml:space="preserve">Estante: parados en bandejas, un modelo por bandeja; máx. 405 u</t>
  </si>
  <si>
    <t xml:space="preserve">R129, R002, R001, R003</t>
  </si>
  <si>
    <t xml:space="preserve">PULMONES-FLAMA2035.xlsx (Fran) · hoja Pulmones, celda O9</t>
  </si>
  <si>
    <t xml:space="preserve">   Estante: fondos (pulmón)</t>
  </si>
  <si>
    <t xml:space="preserve">Rack de pallets al lado de la prensa (la tanda) + estante en el puesto con la ola de mañana; máx. 6609 u</t>
  </si>
  <si>
    <t xml:space="preserve">R130, R002, R001, R003</t>
  </si>
  <si>
    <t xml:space="preserve">PULMONES-FLAMA2035.xlsx (Fran) · hoja Pulmones, celda O10</t>
  </si>
  <si>
    <t xml:space="preserve">   Carro porta-bandejas: cuerpos con fondo → bordoneado</t>
  </si>
  <si>
    <t xml:space="preserve">Pulmones da 2 (R131); se pone 1 + soporte fijo (R013). Alto del carro</t>
  </si>
  <si>
    <t xml:space="preserve">R132, R203</t>
  </si>
  <si>
    <t xml:space="preserve">Balanceo-FLAMA2035.xlsx (Fran) · hoja Carga, celda R45</t>
  </si>
  <si>
    <t xml:space="preserve">   Bordoneadora (equivalente AK-BEND AKM 250)</t>
  </si>
  <si>
    <t xml:space="preserve">motorizada, 2,5 mm</t>
  </si>
  <si>
    <t xml:space="preserve">R132, R042, R041, R043</t>
  </si>
  <si>
    <t xml:space="preserve">Internet · aviso AK-BEND AKM 250 motor (resale.info) · datos del aviso</t>
  </si>
  <si>
    <t xml:space="preserve">https://resale.info/en/ak-bend-akm-250-motor./No-165720938</t>
  </si>
  <si>
    <t xml:space="preserve">Las cotizaciones Prinzing SME 80/3P y Pilman SWM-400 no dan medidas: se toma un equivalente</t>
  </si>
  <si>
    <t xml:space="preserve">   Carro porta-bandejas: cuerpos bordoneados → soldadura circunferencial de cúpula y fondo</t>
  </si>
  <si>
    <t xml:space="preserve">R133, R005, R004</t>
  </si>
  <si>
    <t xml:space="preserve">PULMONES-FLAMA2035.xlsx (Fran) · hoja Pulmones, celda S15</t>
  </si>
  <si>
    <t xml:space="preserve">R134, R204</t>
  </si>
  <si>
    <t xml:space="preserve">Balanceo-FLAMA2035.xlsx (Fran) · hoja Carga, celda R46</t>
  </si>
  <si>
    <t xml:space="preserve">   Soldadora circunferencial</t>
  </si>
  <si>
    <t xml:space="preserve">Getweld ZNC250X2: Ø &lt; 250 mm</t>
  </si>
  <si>
    <t xml:space="preserve">R134</t>
  </si>
  <si>
    <t xml:space="preserve">Sin medidas en las cotizaciones de la carpeta (Getweld ZNC250X2, SC Welding PRO-WP150, Firesafer) y no se encontró en internet</t>
  </si>
  <si>
    <t xml:space="preserve">   Estante: cúpulas con cuello (pulmón)</t>
  </si>
  <si>
    <t xml:space="preserve">Estante de cajones al pie de la soldadura circunferencial; máx. 407 u</t>
  </si>
  <si>
    <t xml:space="preserve">R135, R002, R001, R003</t>
  </si>
  <si>
    <t xml:space="preserve">PULMONES-FLAMA2035.xlsx (Fran) · hoja Pulmones, celda O13</t>
  </si>
  <si>
    <t xml:space="preserve">   Estante: cuerpos bordoneados (pulmón)</t>
  </si>
  <si>
    <t xml:space="preserve">Estante: parados en bandejas, un modelo por bandeja; máx. 691 u</t>
  </si>
  <si>
    <t xml:space="preserve">R136, R002, R001, R003</t>
  </si>
  <si>
    <t xml:space="preserve">PULMONES-FLAMA2035.xlsx (Fran) · hoja Pulmones, celda O15</t>
  </si>
  <si>
    <t xml:space="preserve">   Carro porta-bandejas: cilindros soldados → prueba hidráulica</t>
  </si>
  <si>
    <t xml:space="preserve">R137, R005, R004</t>
  </si>
  <si>
    <t xml:space="preserve">PULMONES-FLAMA2035.xlsx (Fran) · hoja Pulmones, celda S16</t>
  </si>
  <si>
    <t xml:space="preserve">R138, R205</t>
  </si>
  <si>
    <t xml:space="preserve">Balanceo-FLAMA2035.xlsx (Fran) · hoja Carga, celda R47</t>
  </si>
  <si>
    <t xml:space="preserve">   Control de espesor</t>
  </si>
  <si>
    <t xml:space="preserve">R138</t>
  </si>
  <si>
    <t xml:space="preserve">R139, R206</t>
  </si>
  <si>
    <t xml:space="preserve">Balanceo-FLAMA2035.xlsx (Fran) · hoja Carga, celda R50</t>
  </si>
  <si>
    <t xml:space="preserve">   Granalladora AirBlast G-100</t>
  </si>
  <si>
    <t xml:space="preserve">cabina 2.000 × 700 × 700 mm</t>
  </si>
  <si>
    <t xml:space="preserve">R139, R045, R044, R046</t>
  </si>
  <si>
    <t xml:space="preserve">Cotización AirBlast · Memoria Descriptiva Shoteadora G-100 · Características técnicas</t>
  </si>
  <si>
    <t xml:space="preserve">https://drive.google.com/file/d/1WuRcYbuJsfRRfZVtH2vvID_x4sdWeMNW/view</t>
  </si>
  <si>
    <t xml:space="preserve">   Carro porta-bandejas: cilindros granallados → pintura en polvo + horno</t>
  </si>
  <si>
    <t xml:space="preserve">R140, R005, R004</t>
  </si>
  <si>
    <t xml:space="preserve">PULMONES-FLAMA2035.xlsx (Fran) · hoja Pulmones, celda S19</t>
  </si>
  <si>
    <t xml:space="preserve">R141, R207</t>
  </si>
  <si>
    <t xml:space="preserve">Balanceo-FLAMA2035.xlsx (Fran) · hoja Carga, celda R51</t>
  </si>
  <si>
    <t xml:space="preserve">   Detección de defectos</t>
  </si>
  <si>
    <t xml:space="preserve">R141</t>
  </si>
  <si>
    <t xml:space="preserve">R142, R208</t>
  </si>
  <si>
    <t xml:space="preserve">Balanceo-FLAMA2035.xlsx (Fran) · hoja Carga, celda R52</t>
  </si>
  <si>
    <t xml:space="preserve">   Corrección de defectos</t>
  </si>
  <si>
    <t xml:space="preserve">R142</t>
  </si>
  <si>
    <t xml:space="preserve">R209, R210</t>
  </si>
  <si>
    <t xml:space="preserve">Balanceo-FLAMA2035.xlsx (Fran) · hoja Carga, celda R53</t>
  </si>
  <si>
    <t xml:space="preserve">   Horno (precalentamiento y curado)</t>
  </si>
  <si>
    <t xml:space="preserve">panelizado con lana de roca 50 mm</t>
  </si>
  <si>
    <t xml:space="preserve">R050, R048, R047, R049</t>
  </si>
  <si>
    <t xml:space="preserve">Cotización de pintura (proforma 0001-001556) · renglón 4</t>
  </si>
  <si>
    <t xml:space="preserve">https://drive.google.com/file/d/1cekl22rgI4pB7ik3qNjOe7DJZVNJ-voK/view</t>
  </si>
  <si>
    <t xml:space="preserve">   Cabina de pintura</t>
  </si>
  <si>
    <t xml:space="preserve">2 reciprocadores de 1.300 mm y 2 ciclones sin medidas</t>
  </si>
  <si>
    <t xml:space="preserve">R054, R052, R051, R053</t>
  </si>
  <si>
    <t xml:space="preserve">Cotización de pintura (proforma 0001-001556) · renglón 7</t>
  </si>
  <si>
    <t xml:space="preserve">   Estante: cilindros granallados (pulmón)</t>
  </si>
  <si>
    <t xml:space="preserve">Estante: parados en bandejas, un modelo por bandeja; máx. 488 u</t>
  </si>
  <si>
    <t xml:space="preserve">R143, R002, R001, R003</t>
  </si>
  <si>
    <t xml:space="preserve">PULMONES-FLAMA2035.xlsx (Fran) · hoja Pulmones, celda O19</t>
  </si>
  <si>
    <t xml:space="preserve">   Carro porta-bandejas: cilindros vacíos pintados → embalaje y paletizado</t>
  </si>
  <si>
    <t xml:space="preserve">Pulmones da 2 (R144); se pone 1 + soporte fijo (R013). Alto del carro</t>
  </si>
  <si>
    <t xml:space="preserve">   Carro porta-bandejas: cilindros pintados para cargar → carga de polvo</t>
  </si>
  <si>
    <t xml:space="preserve">Pulmones da 2 (R145); se pone 1 + soporte fijo (R013). Alto del carro</t>
  </si>
  <si>
    <t xml:space="preserve">R146, R211</t>
  </si>
  <si>
    <t xml:space="preserve">Balanceo-FLAMA2035.xlsx (Fran) · hoja Carga, celda R54</t>
  </si>
  <si>
    <t xml:space="preserve">   Cargadora de polvo Yukon M-000121</t>
  </si>
  <si>
    <t xml:space="preserve">R146, R056, R055, R057</t>
  </si>
  <si>
    <t xml:space="preserve">Cotización Yukon · Ficha Maq. carga M-000121 · Características técnicas</t>
  </si>
  <si>
    <t xml:space="preserve">https://drive.google.com/file/d/1EgGHDA3POFrFvroBTnP4I855u6ADRbJu/view</t>
  </si>
  <si>
    <t xml:space="preserve">   Estante: cilindros pintados para cargar (pulmón)</t>
  </si>
  <si>
    <t xml:space="preserve">Estante: parados en bandejas, un modelo por bandeja; máx. 330 u</t>
  </si>
  <si>
    <t xml:space="preserve">R147, R002, R001, R003</t>
  </si>
  <si>
    <t xml:space="preserve">PULMONES-FLAMA2035.xlsx (Fran) · hoja Pulmones, celda O21</t>
  </si>
  <si>
    <t xml:space="preserve">   Carro porta-bandejas: cilindros cargados de polvo → ensamblaje</t>
  </si>
  <si>
    <t xml:space="preserve">R148, R005, R004</t>
  </si>
  <si>
    <t xml:space="preserve">PULMONES-FLAMA2035.xlsx (Fran) · hoja Pulmones, celda S22</t>
  </si>
  <si>
    <t xml:space="preserve">R149, R212</t>
  </si>
  <si>
    <t xml:space="preserve">Balanceo-FLAMA2035.xlsx (Fran) · hoja Carga, celda R55</t>
  </si>
  <si>
    <t xml:space="preserve">   Roscadora de manómetro y tubo Firesafer FS-NGNP</t>
  </si>
  <si>
    <t xml:space="preserve">cotizada (ítem 34)</t>
  </si>
  <si>
    <t xml:space="preserve">R149, R059, R058, R060</t>
  </si>
  <si>
    <t xml:space="preserve">Catálogo Firesafer · Filling Line Series 2026.pdf · ficha FS-NGNP</t>
  </si>
  <si>
    <t xml:space="preserve">https://drive.google.com/file/d/1xN6cXKY00nOszWwFanDEHzmIV3x-bABC/view</t>
  </si>
  <si>
    <t xml:space="preserve">   Estante: cilindros cargados de polvo (pulmón)</t>
  </si>
  <si>
    <t xml:space="preserve">Estante: parados en bandejas, un modelo por bandeja; máx. 183 u</t>
  </si>
  <si>
    <t xml:space="preserve">R150, R002, R001, R003</t>
  </si>
  <si>
    <t xml:space="preserve">PULMONES-FLAMA2035.xlsx (Fran) · hoja Pulmones, celda O22</t>
  </si>
  <si>
    <t xml:space="preserve">   Carro porta-bandejas: matafuegos armados → presurización</t>
  </si>
  <si>
    <t xml:space="preserve">R151, R005, R004</t>
  </si>
  <si>
    <t xml:space="preserve">PULMONES-FLAMA2035.xlsx (Fran) · hoja Pulmones, celda S23</t>
  </si>
  <si>
    <t xml:space="preserve">R152, R213</t>
  </si>
  <si>
    <t xml:space="preserve">Balanceo-FLAMA2035.xlsx (Fran) · hoja Carga, celda R56</t>
  </si>
  <si>
    <t xml:space="preserve">   Pinza de presurización Yukon M-000150</t>
  </si>
  <si>
    <t xml:space="preserve">neumática, 2 kg</t>
  </si>
  <si>
    <t xml:space="preserve">R152</t>
  </si>
  <si>
    <t xml:space="preserve">La ficha no da medidas; va sobre un soporte</t>
  </si>
  <si>
    <t xml:space="preserve">   Estante: matafuegos armados (pulmón)</t>
  </si>
  <si>
    <t xml:space="preserve">Estante: parados en bandejas, un modelo por bandeja; máx. 168 u</t>
  </si>
  <si>
    <t xml:space="preserve">R153, R002, R001, R003</t>
  </si>
  <si>
    <t xml:space="preserve">PULMONES-FLAMA2035.xlsx (Fran) · hoja Pulmones, celda O23</t>
  </si>
  <si>
    <t xml:space="preserve">   Carro porta-bandejas: matafuegos presurizados → control de calidad</t>
  </si>
  <si>
    <t xml:space="preserve">R154, R005, R004</t>
  </si>
  <si>
    <t xml:space="preserve">PULMONES-FLAMA2035.xlsx (Fran) · hoja Pulmones, celda S24</t>
  </si>
  <si>
    <t xml:space="preserve">R155, R214</t>
  </si>
  <si>
    <t xml:space="preserve">Balanceo-FLAMA2035.xlsx (Fran) · hoja Carga, celda R57</t>
  </si>
  <si>
    <t xml:space="preserve">   Tanque de ensayo de pérdidas Firesafer FS-SS100</t>
  </si>
  <si>
    <t xml:space="preserve">30–40 piezas por tanda</t>
  </si>
  <si>
    <t xml:space="preserve">R155, R062, R061, R063</t>
  </si>
  <si>
    <t xml:space="preserve">Catálogo Firesafer · Filling Line Series 2026.pdf · ficha FS-SS100</t>
  </si>
  <si>
    <t xml:space="preserve">Elegido por función; la cotización Firesafer dice que el tanque no está incluido</t>
  </si>
  <si>
    <t xml:space="preserve">   Estante: matafuegos presurizados (pulmón)</t>
  </si>
  <si>
    <t xml:space="preserve">Estante: parados en bandejas, un modelo por bandeja; máx. 161 u</t>
  </si>
  <si>
    <t xml:space="preserve">R156, R002, R001, R003</t>
  </si>
  <si>
    <t xml:space="preserve">PULMONES-FLAMA2035.xlsx (Fran) · hoja Pulmones, celda O24</t>
  </si>
  <si>
    <t xml:space="preserve">   Carro porta-bandejas: matafuegos ensayados → etiquetado</t>
  </si>
  <si>
    <t xml:space="preserve">R157, R005, R004</t>
  </si>
  <si>
    <t xml:space="preserve">PULMONES-FLAMA2035.xlsx (Fran) · hoja Pulmones, celda S25</t>
  </si>
  <si>
    <t xml:space="preserve">R158, R215</t>
  </si>
  <si>
    <t xml:space="preserve">Balanceo-FLAMA2035.xlsx (Fran) · hoja Carga, celda R58</t>
  </si>
  <si>
    <t xml:space="preserve">   Etiquetadora</t>
  </si>
  <si>
    <t xml:space="preserve">R158</t>
  </si>
  <si>
    <t xml:space="preserve">Sin medidas en las cotizaciones de la carpeta (SISA, Firesafer)</t>
  </si>
  <si>
    <t xml:space="preserve">   Estante: matafuegos ensayados (pulmón)</t>
  </si>
  <si>
    <t xml:space="preserve">Estante: parados en bandejas, un modelo por bandeja; máx. 241 u</t>
  </si>
  <si>
    <t xml:space="preserve">R159, R002, R001, R003</t>
  </si>
  <si>
    <t xml:space="preserve">PULMONES-FLAMA2035.xlsx (Fran) · hoja Pulmones, celda O25</t>
  </si>
  <si>
    <t xml:space="preserve">   Carro porta-bandejas: matafuegos etiquetados → embalaje y paletizado</t>
  </si>
  <si>
    <t xml:space="preserve">Pulmones da 2 (R160); se pone 1 + soporte fijo (R013). Alto del carro</t>
  </si>
  <si>
    <t xml:space="preserve">R161, R216</t>
  </si>
  <si>
    <t xml:space="preserve">Balanceo-FLAMA2035.xlsx (Fran) · hoja Carga, celda R59</t>
  </si>
  <si>
    <t xml:space="preserve">   Envolvedora EDOS PS 5</t>
  </si>
  <si>
    <t xml:space="preserve">área de instalación</t>
  </si>
  <si>
    <t xml:space="preserve">R067, R065, R064, R066</t>
  </si>
  <si>
    <t xml:space="preserve">Cotización EDOS · Folleto Recubridor PS5 V21 · Características Técnicas</t>
  </si>
  <si>
    <t xml:space="preserve">https://drive.google.com/file/d/1WEVAv6MnsB0PGj5eDDb08PFQzJeXyT88/view</t>
  </si>
  <si>
    <t xml:space="preserve">Cotización EDOS · Folleto Recubridor PS5 V21 · pág. 1</t>
  </si>
  <si>
    <t xml:space="preserve">   Puesto de encajonado</t>
  </si>
  <si>
    <t xml:space="preserve">R161</t>
  </si>
  <si>
    <t xml:space="preserve">   Estante: cilindros vacíos pintados (pulmón)</t>
  </si>
  <si>
    <t xml:space="preserve">Estante: parados en bandejas, un modelo por bandeja; máx. 421 u</t>
  </si>
  <si>
    <t xml:space="preserve">R162, R002, R001, R003</t>
  </si>
  <si>
    <t xml:space="preserve">PULMONES-FLAMA2035.xlsx (Fran) · hoja Pulmones, celda O20</t>
  </si>
  <si>
    <t xml:space="preserve">CARROS — lo que va dentro de cada puesto</t>
  </si>
  <si>
    <t xml:space="preserve">R178, R217</t>
  </si>
  <si>
    <t xml:space="preserve">Balanceo-FLAMA2035.xlsx (Fran) · hoja Carga, celda M77</t>
  </si>
  <si>
    <t xml:space="preserve">   Roladora de carros (equivalente W11-6×1500)</t>
  </si>
  <si>
    <t xml:space="preserve">R178, R078, R077, R079</t>
  </si>
  <si>
    <t xml:space="preserve">Internet · ficha W11-10X2000 / serie W11 (goldsupplier) · tabla de la serie W11, fila 6×1500</t>
  </si>
  <si>
    <t xml:space="preserve">https://www.goldsupplier.com/provide/p106252607.html</t>
  </si>
  <si>
    <t xml:space="preserve">No hay cotización ni dato de Fran para este equipo: equivalente para R179</t>
  </si>
  <si>
    <t xml:space="preserve">   Piso demarcado: cuerpos planos grabados (pulmón)</t>
  </si>
  <si>
    <t xml:space="preserve">—</t>
  </si>
  <si>
    <t xml:space="preserve">Sobre la mesa móvil de la guillotina, apilados (tanda de corte); máx. 52 recipientes; huella = m² de Fran ÷ factor de circulación</t>
  </si>
  <si>
    <t xml:space="preserve">R180, R010</t>
  </si>
  <si>
    <t xml:space="preserve">PULMONES-FLAMA2035.xlsx (Fran) · hoja Carros, celda J6 · PULMONES-FLAMA2035.xlsx (Fran) · hoja Parametros, celda B46</t>
  </si>
  <si>
    <t xml:space="preserve">R181, R218</t>
  </si>
  <si>
    <t xml:space="preserve">Balanceo-FLAMA2035.xlsx (Fran) · hoja Carga, celda M78</t>
  </si>
  <si>
    <t xml:space="preserve">   Virador ProArc TR-0100 (motriz)</t>
  </si>
  <si>
    <t xml:space="preserve">1 t; equivalente</t>
  </si>
  <si>
    <t xml:space="preserve">R181, R081, R080, R082</t>
  </si>
  <si>
    <t xml:space="preserve">Internet · ProArc TR-0100 (Westermans) · Dimensions</t>
  </si>
  <si>
    <t xml:space="preserve">https://westermans.com/proarc-tr-0100-welding-rotators-1-ton-single-phase.aspx</t>
  </si>
  <si>
    <t xml:space="preserve">No hay cotización ni dato de Fran para este equipo: se toma un equivalente de 1 t</t>
  </si>
  <si>
    <t xml:space="preserve">   Virador ProArc TR-0100 (loco)</t>
  </si>
  <si>
    <t xml:space="preserve">R181, R084, R083, R085</t>
  </si>
  <si>
    <t xml:space="preserve">   Piso demarcado: virolas (pulmón)</t>
  </si>
  <si>
    <t xml:space="preserve">Piso demarcado de 1,8 × 1,2 m al pie del punteo, paradas; máx. 2 recipientes; huella = m² de Fran ÷ factor de circulación</t>
  </si>
  <si>
    <t xml:space="preserve">R182, R010</t>
  </si>
  <si>
    <t xml:space="preserve">PULMONES-FLAMA2035.xlsx (Fran) · hoja Carros, celda J7 · PULMONES-FLAMA2035.xlsx (Fran) · hoja Parametros, celda B46</t>
  </si>
  <si>
    <t xml:space="preserve">R183, R219</t>
  </si>
  <si>
    <t xml:space="preserve">Balanceo-FLAMA2035.xlsx (Fran) · hoja Carga, celda M79</t>
  </si>
  <si>
    <t xml:space="preserve">   Soldadora longitudinal Dragon ZH-1300</t>
  </si>
  <si>
    <t xml:space="preserve">con mesa de rodillos; soldadura 1.300 mm</t>
  </si>
  <si>
    <t xml:space="preserve">R183, R087, R086, R088</t>
  </si>
  <si>
    <t xml:space="preserve">Cotización Dragon Welding · PROFORMA INVOICE 26091611.pdf · ítem 01</t>
  </si>
  <si>
    <t xml:space="preserve">https://drive.google.com/file/d/1l8M5M-2Xjh6rpiypYBHoqaVkF-1-1pfM/view</t>
  </si>
  <si>
    <t xml:space="preserve">   Chiller SDL-1000</t>
  </si>
  <si>
    <t xml:space="preserve">medidas de embalaje</t>
  </si>
  <si>
    <t xml:space="preserve">R183, R090, R089, R091</t>
  </si>
  <si>
    <t xml:space="preserve">Cotización Dragon Welding · PROFORMA INVOICE 26091611.pdf · ítem 03</t>
  </si>
  <si>
    <t xml:space="preserve">Son medidas del embalaje</t>
  </si>
  <si>
    <t xml:space="preserve">R184, R220</t>
  </si>
  <si>
    <t xml:space="preserve">Balanceo-FLAMA2035.xlsx (Fran) · hoja Carga, celda M80</t>
  </si>
  <si>
    <t xml:space="preserve">   Soldadora de cupla</t>
  </si>
  <si>
    <t xml:space="preserve">R184</t>
  </si>
  <si>
    <t xml:space="preserve">   Piso demarcado: cúpulas con cupla (pulmón)</t>
  </si>
  <si>
    <t xml:space="preserve">En el carro canasto entre la soldadura de cupla y el armado; máx. 13 recipientes; huella = m² de Fran ÷ factor de circulación</t>
  </si>
  <si>
    <t xml:space="preserve">R185, R010</t>
  </si>
  <si>
    <t xml:space="preserve">PULMONES-FLAMA2035.xlsx (Fran) · hoja Carros, celda J9 · PULMONES-FLAMA2035.xlsx (Fran) · hoja Parametros, celda B46</t>
  </si>
  <si>
    <t xml:space="preserve">R186, R221</t>
  </si>
  <si>
    <t xml:space="preserve">Balanceo-FLAMA2035.xlsx (Fran) · hoja Carga, celda M81</t>
  </si>
  <si>
    <t xml:space="preserve">R186, R081, R080, R082</t>
  </si>
  <si>
    <t xml:space="preserve">R186, R084, R083, R085</t>
  </si>
  <si>
    <t xml:space="preserve">   Piso demarcado: cuerpos soldados (pulmón)</t>
  </si>
  <si>
    <t xml:space="preserve">Piso demarcado al pie del armado (7), parados; máx. 11 recipientes; huella = m² de Fran ÷ factor de circulación</t>
  </si>
  <si>
    <t xml:space="preserve">R187, R010</t>
  </si>
  <si>
    <t xml:space="preserve">PULMONES-FLAMA2035.xlsx (Fran) · hoja Carros, celda J8 · PULMONES-FLAMA2035.xlsx (Fran) · hoja Parametros, celda B46</t>
  </si>
  <si>
    <t xml:space="preserve">R188, R222</t>
  </si>
  <si>
    <t xml:space="preserve">Balanceo-FLAMA2035.xlsx (Fran) · hoja Carga, celda M82</t>
  </si>
  <si>
    <t xml:space="preserve">R188, R081, R080, R082</t>
  </si>
  <si>
    <t xml:space="preserve">R188, R084, R083, R085</t>
  </si>
  <si>
    <t xml:space="preserve">   Piso demarcado: cilindros cerrados (pulmón)</t>
  </si>
  <si>
    <t xml:space="preserve">Piso demarcado al pie de accesorios (8), parados; máx. 1 recipientes; huella = m² de Fran ÷ factor de circulación</t>
  </si>
  <si>
    <t xml:space="preserve">R189, R010</t>
  </si>
  <si>
    <t xml:space="preserve">PULMONES-FLAMA2035.xlsx (Fran) · hoja Carros, celda J10 · PULMONES-FLAMA2035.xlsx (Fran) · hoja Parametros, celda B46</t>
  </si>
  <si>
    <t xml:space="preserve">R190, R223</t>
  </si>
  <si>
    <t xml:space="preserve">Balanceo-FLAMA2035.xlsx (Fran) · hoja Carga, celda M83</t>
  </si>
  <si>
    <t xml:space="preserve">   Fabricación de accesorios</t>
  </si>
  <si>
    <t xml:space="preserve">R190</t>
  </si>
  <si>
    <t xml:space="preserve">R224, R225</t>
  </si>
  <si>
    <t xml:space="preserve">Balanceo-FLAMA2035.xlsx (Fran) · hoja Carga, celda M86</t>
  </si>
  <si>
    <t xml:space="preserve">   Piso demarcado: recipientes esperando la pintura (pulmón)</t>
  </si>
  <si>
    <t xml:space="preserve">Espera del pintor: piso demarcado junto al portón, parados con un taco atrás; máx. 29 recipientes; huella = m² de Fran ÷ factor de circulación</t>
  </si>
  <si>
    <t xml:space="preserve">R191, R010</t>
  </si>
  <si>
    <t xml:space="preserve">PULMONES-FLAMA2035.xlsx (Fran) · hoja Carros, celda J11 · PULMONES-FLAMA2035.xlsx (Fran) · hoja Parametros, celda B46</t>
  </si>
  <si>
    <t xml:space="preserve">R226, R227</t>
  </si>
  <si>
    <t xml:space="preserve">Balanceo-FLAMA2035.xlsx (Fran) · hoja Carga, celda M87</t>
  </si>
  <si>
    <t xml:space="preserve">   Piso demarcado: carros pintados (pulmón)</t>
  </si>
  <si>
    <t xml:space="preserve">Piso demarcado de pintados: sin ruedas, parados sobre un taco de madera; máx. 29 recipientes; huella = m² de Fran ÷ factor de circulación</t>
  </si>
  <si>
    <t xml:space="preserve">R192, R010</t>
  </si>
  <si>
    <t xml:space="preserve">PULMONES-FLAMA2035.xlsx (Fran) · hoja Carros, celda J13 · PULMONES-FLAMA2035.xlsx (Fran) · hoja Parametros, celda B46</t>
  </si>
  <si>
    <t xml:space="preserve">R193, R228</t>
  </si>
  <si>
    <t xml:space="preserve">Balanceo-FLAMA2035.xlsx (Fran) · hoja Carga, celda M88</t>
  </si>
  <si>
    <t xml:space="preserve">R193, R056, R055, R057</t>
  </si>
  <si>
    <t xml:space="preserve">R194, R229</t>
  </si>
  <si>
    <t xml:space="preserve">Balanceo-FLAMA2035.xlsx (Fran) · hoja Carga, celda M89</t>
  </si>
  <si>
    <t xml:space="preserve">   Montaje, manga, precinto y etiquetado</t>
  </si>
  <si>
    <t xml:space="preserve">R194</t>
  </si>
  <si>
    <t xml:space="preserve">R195, R230</t>
  </si>
  <si>
    <t xml:space="preserve">Balanceo-FLAMA2035.xlsx (Fran) · hoja Carga, celda M90</t>
  </si>
  <si>
    <t xml:space="preserve">   Calidad: pérdidas, inspección y ensayos de lote</t>
  </si>
  <si>
    <t xml:space="preserve">R195</t>
  </si>
  <si>
    <t xml:space="preserve">RECARGAS — lo que va dentro de cada puesto</t>
  </si>
  <si>
    <t xml:space="preserve">R242, R243</t>
  </si>
  <si>
    <t xml:space="preserve">Balanceo-FLAMA2035.xlsx (Fran) · hoja Carga, celda F104</t>
  </si>
  <si>
    <t xml:space="preserve">   Equipo de recepción y registro</t>
  </si>
  <si>
    <t xml:space="preserve">R242</t>
  </si>
  <si>
    <t xml:space="preserve">   Jaula en espera (pulmón)</t>
  </si>
  <si>
    <t xml:space="preserve">28 equipos por jaula</t>
  </si>
  <si>
    <t xml:space="preserve">R244, R012, R011</t>
  </si>
  <si>
    <t xml:space="preserve">Balanceo-FLAMA2035.xlsx (Fran) · hoja Parametros, celda A52</t>
  </si>
  <si>
    <t xml:space="preserve">Balanceo-FLAMA2035.xlsx (Fran) · hoja Carga, celda M104</t>
  </si>
  <si>
    <t xml:space="preserve">Alto de la jaula</t>
  </si>
  <si>
    <t xml:space="preserve">R245, R246</t>
  </si>
  <si>
    <t xml:space="preserve">Balanceo-FLAMA2035.xlsx (Fran) · hoja Carga, celda F105</t>
  </si>
  <si>
    <t xml:space="preserve">   Equipo de inspección visual</t>
  </si>
  <si>
    <t xml:space="preserve">R245</t>
  </si>
  <si>
    <t xml:space="preserve">R247, R012, R011</t>
  </si>
  <si>
    <t xml:space="preserve">Balanceo-FLAMA2035.xlsx (Fran) · hoja Carga, celda M105</t>
  </si>
  <si>
    <t xml:space="preserve">R248, R249</t>
  </si>
  <si>
    <t xml:space="preserve">Balanceo-FLAMA2035.xlsx (Fran) · hoja Carga, celda F106</t>
  </si>
  <si>
    <t xml:space="preserve">   Recuperadora / cargadora de polvo Firesafer FS-ZR01</t>
  </si>
  <si>
    <t xml:space="preserve">R248, R093, R092, R094</t>
  </si>
  <si>
    <t xml:space="preserve">Catálogo Firesafer · FS 2026 SERVICE LISTS 05.pdf · ficha FS-ZR01</t>
  </si>
  <si>
    <t xml:space="preserve">Elegida por función del catálogo de service Firesafer: confirmar</t>
  </si>
  <si>
    <t xml:space="preserve">R250, R012, R011</t>
  </si>
  <si>
    <t xml:space="preserve">Balanceo-FLAMA2035.xlsx (Fran) · hoja Carga, celda M106</t>
  </si>
  <si>
    <t xml:space="preserve">R251, R252</t>
  </si>
  <si>
    <t xml:space="preserve">Balanceo-FLAMA2035.xlsx (Fran) · hoja Carga, celda F107</t>
  </si>
  <si>
    <t xml:space="preserve">   Equipo de descarga a descarte (abc, bc y clase d)</t>
  </si>
  <si>
    <t xml:space="preserve">R251</t>
  </si>
  <si>
    <t xml:space="preserve">R253, R012, R011</t>
  </si>
  <si>
    <t xml:space="preserve">Balanceo-FLAMA2035.xlsx (Fran) · hoja Carga, celda M107</t>
  </si>
  <si>
    <t xml:space="preserve">R254, R255</t>
  </si>
  <si>
    <t xml:space="preserve">Balanceo-FLAMA2035.xlsx (Fran) · hoja Carga, celda F108</t>
  </si>
  <si>
    <t xml:space="preserve">   Cargadora de agua y espuma Firesafer FS-SJML01</t>
  </si>
  <si>
    <t xml:space="preserve">R254, R096, R095, R097</t>
  </si>
  <si>
    <t xml:space="preserve">Catálogo Firesafer · FS 2026 SERVICE LISTS 05.pdf · ficha FS-SJML01</t>
  </si>
  <si>
    <t xml:space="preserve">R256, R012, R011</t>
  </si>
  <si>
    <t xml:space="preserve">Balanceo-FLAMA2035.xlsx (Fran) · hoja Carga, celda M108</t>
  </si>
  <si>
    <t xml:space="preserve">R257, R258</t>
  </si>
  <si>
    <t xml:space="preserve">Balanceo-FLAMA2035.xlsx (Fran) · hoja Carga, celda F109</t>
  </si>
  <si>
    <t xml:space="preserve">   Cargadora de CO₂ Firesafer FS-CO2E</t>
  </si>
  <si>
    <t xml:space="preserve">R257, R099, R098, R100</t>
  </si>
  <si>
    <t xml:space="preserve">Catálogo Firesafer · FS 2026 SERVICE LISTS 05.pdf · ficha FS-CO2E</t>
  </si>
  <si>
    <t xml:space="preserve">R259, R012, R011</t>
  </si>
  <si>
    <t xml:space="preserve">Balanceo-FLAMA2035.xlsx (Fran) · hoja Carga, celda M109</t>
  </si>
  <si>
    <t xml:space="preserve">R260, R261</t>
  </si>
  <si>
    <t xml:space="preserve">Balanceo-FLAMA2035.xlsx (Fran) · hoja Carga, celda F110</t>
  </si>
  <si>
    <t xml:space="preserve">   Equipo de recuperación y carga de halogenado</t>
  </si>
  <si>
    <t xml:space="preserve">R260</t>
  </si>
  <si>
    <t xml:space="preserve">R262, R012, R011</t>
  </si>
  <si>
    <t xml:space="preserve">Balanceo-FLAMA2035.xlsx (Fran) · hoja Carga, celda M110</t>
  </si>
  <si>
    <t xml:space="preserve">R263, R264</t>
  </si>
  <si>
    <t xml:space="preserve">Balanceo-FLAMA2035.xlsx (Fran) · hoja Carga, celda F111</t>
  </si>
  <si>
    <t xml:space="preserve">   Equipo de desarme y limpieza</t>
  </si>
  <si>
    <t xml:space="preserve">R263</t>
  </si>
  <si>
    <t xml:space="preserve">R265, R012, R011</t>
  </si>
  <si>
    <t xml:space="preserve">Balanceo-FLAMA2035.xlsx (Fran) · hoja Carga, celda M111</t>
  </si>
  <si>
    <t xml:space="preserve">R266, R267</t>
  </si>
  <si>
    <t xml:space="preserve">Balanceo-FLAMA2035.xlsx (Fran) · hoja Carga, celda F112</t>
  </si>
  <si>
    <t xml:space="preserve">   Equipo de desarme e inspección interior</t>
  </si>
  <si>
    <t xml:space="preserve">R266</t>
  </si>
  <si>
    <t xml:space="preserve">R268, R012, R011</t>
  </si>
  <si>
    <t xml:space="preserve">Balanceo-FLAMA2035.xlsx (Fran) · hoja Carga, celda M112</t>
  </si>
  <si>
    <t xml:space="preserve">R269, R270</t>
  </si>
  <si>
    <t xml:space="preserve">Balanceo-FLAMA2035.xlsx (Fran) · hoja Carga, celda F113</t>
  </si>
  <si>
    <t xml:space="preserve">   Equipo de laboratorio</t>
  </si>
  <si>
    <t xml:space="preserve">R269</t>
  </si>
  <si>
    <t xml:space="preserve">R271, R012, R011</t>
  </si>
  <si>
    <t xml:space="preserve">Balanceo-FLAMA2035.xlsx (Fran) · hoja Carga, celda M113</t>
  </si>
  <si>
    <t xml:space="preserve">R272, R273</t>
  </si>
  <si>
    <t xml:space="preserve">Balanceo-FLAMA2035.xlsx (Fran) · hoja Carga, celda F114</t>
  </si>
  <si>
    <t xml:space="preserve">   Bomba de PH Firesafer FS-HPT1</t>
  </si>
  <si>
    <t xml:space="preserve">R272, R102, R101, R103</t>
  </si>
  <si>
    <t xml:space="preserve">Catálogo Firesafer · FS 2026 SERVICE LISTS 05.pdf · ficha FS-HPT1</t>
  </si>
  <si>
    <t xml:space="preserve">   Banco de PH Firesafer FS-HPT1</t>
  </si>
  <si>
    <t xml:space="preserve">R272, R105, R104, R106</t>
  </si>
  <si>
    <t xml:space="preserve">R274, R012, R011</t>
  </si>
  <si>
    <t xml:space="preserve">Balanceo-FLAMA2035.xlsx (Fran) · hoja Carga, celda M114</t>
  </si>
  <si>
    <t xml:space="preserve">R275, R276</t>
  </si>
  <si>
    <t xml:space="preserve">Balanceo-FLAMA2035.xlsx (Fran) · hoja Carga, celda F115</t>
  </si>
  <si>
    <t xml:space="preserve">   Secadora Firesafer FS-D4</t>
  </si>
  <si>
    <t xml:space="preserve">R275, R075, R074, R076</t>
  </si>
  <si>
    <t xml:space="preserve">R277, R012, R011</t>
  </si>
  <si>
    <t xml:space="preserve">Balanceo-FLAMA2035.xlsx (Fran) · hoja Carga, celda M115</t>
  </si>
  <si>
    <t xml:space="preserve">R278, R279</t>
  </si>
  <si>
    <t xml:space="preserve">Balanceo-FLAMA2035.xlsx (Fran) · hoja Carga, celda F116</t>
  </si>
  <si>
    <t xml:space="preserve">   Equipo de inspección interior con videoscopio</t>
  </si>
  <si>
    <t xml:space="preserve">R278</t>
  </si>
  <si>
    <t xml:space="preserve">R280, R012, R011</t>
  </si>
  <si>
    <t xml:space="preserve">Balanceo-FLAMA2035.xlsx (Fran) · hoja Carga, celda M116</t>
  </si>
  <si>
    <t xml:space="preserve">R281, R282</t>
  </si>
  <si>
    <t xml:space="preserve">Balanceo-FLAMA2035.xlsx (Fran) · hoja Carga, celda F117</t>
  </si>
  <si>
    <t xml:space="preserve">   Equipo de pintura</t>
  </si>
  <si>
    <t xml:space="preserve">R281</t>
  </si>
  <si>
    <t xml:space="preserve">R283, R012, R011</t>
  </si>
  <si>
    <t xml:space="preserve">Balanceo-FLAMA2035.xlsx (Fran) · hoja Carga, celda M117</t>
  </si>
  <si>
    <t xml:space="preserve">R284, R285</t>
  </si>
  <si>
    <t xml:space="preserve">Balanceo-FLAMA2035.xlsx (Fran) · hoja Carga, celda F118</t>
  </si>
  <si>
    <t xml:space="preserve">R284, R056, R055, R057</t>
  </si>
  <si>
    <t xml:space="preserve">R286, R012, R011</t>
  </si>
  <si>
    <t xml:space="preserve">Balanceo-FLAMA2035.xlsx (Fran) · hoja Carga, celda M118</t>
  </si>
  <si>
    <t xml:space="preserve">R287, R288</t>
  </si>
  <si>
    <t xml:space="preserve">Balanceo-FLAMA2035.xlsx (Fran) · hoja Carga, celda F119</t>
  </si>
  <si>
    <t xml:space="preserve">   Morsa manual Firesafer FS-MC</t>
  </si>
  <si>
    <t xml:space="preserve">R287, R108, R107, R109</t>
  </si>
  <si>
    <t xml:space="preserve">Catálogo Firesafer · FS 2026 SERVICE LISTS 05.pdf · ficha FS-MC</t>
  </si>
  <si>
    <t xml:space="preserve">R289, R012, R011</t>
  </si>
  <si>
    <t xml:space="preserve">Balanceo-FLAMA2035.xlsx (Fran) · hoja Carga, celda M119</t>
  </si>
  <si>
    <t xml:space="preserve">R290, R291</t>
  </si>
  <si>
    <t xml:space="preserve">Balanceo-FLAMA2035.xlsx (Fran) · hoja Carga, celda F120</t>
  </si>
  <si>
    <t xml:space="preserve">   Presurizadora de N₂ Firesafer FS-N2</t>
  </si>
  <si>
    <t xml:space="preserve">R290, R111, R110, R112</t>
  </si>
  <si>
    <t xml:space="preserve">Catálogo Firesafer · FS 2026 SERVICE LISTS 05.pdf · ficha FS-N2</t>
  </si>
  <si>
    <t xml:space="preserve">R292, R012, R011</t>
  </si>
  <si>
    <t xml:space="preserve">Balanceo-FLAMA2035.xlsx (Fran) · hoja Carga, celda M120</t>
  </si>
  <si>
    <t xml:space="preserve">R293, R294</t>
  </si>
  <si>
    <t xml:space="preserve">Balanceo-FLAMA2035.xlsx (Fran) · hoja Carga, celda F121</t>
  </si>
  <si>
    <t xml:space="preserve">   Equipo de ensamblaje y presurización</t>
  </si>
  <si>
    <t xml:space="preserve">R293</t>
  </si>
  <si>
    <t xml:space="preserve">R295, R012, R011</t>
  </si>
  <si>
    <t xml:space="preserve">Balanceo-FLAMA2035.xlsx (Fran) · hoja Carga, celda M121</t>
  </si>
  <si>
    <t xml:space="preserve">R296, R297</t>
  </si>
  <si>
    <t xml:space="preserve">Balanceo-FLAMA2035.xlsx (Fran) · hoja Carga, celda F122</t>
  </si>
  <si>
    <t xml:space="preserve">   Equipo de control de peso (co₂ y halogenados sin recarga)</t>
  </si>
  <si>
    <t xml:space="preserve">R296</t>
  </si>
  <si>
    <t xml:space="preserve">R298, R012, R011</t>
  </si>
  <si>
    <t xml:space="preserve">Balanceo-FLAMA2035.xlsx (Fran) · hoja Carga, celda M122</t>
  </si>
  <si>
    <t xml:space="preserve">R299, R300</t>
  </si>
  <si>
    <t xml:space="preserve">Balanceo-FLAMA2035.xlsx (Fran) · hoja Carga, celda F123</t>
  </si>
  <si>
    <t xml:space="preserve">R299, R062, R061, R063</t>
  </si>
  <si>
    <t xml:space="preserve">R301, R012, R011</t>
  </si>
  <si>
    <t xml:space="preserve">Balanceo-FLAMA2035.xlsx (Fran) · hoja Carga, celda M123</t>
  </si>
  <si>
    <t xml:space="preserve">R302, R303</t>
  </si>
  <si>
    <t xml:space="preserve">Balanceo-FLAMA2035.xlsx (Fran) · hoja Carga, celda F124</t>
  </si>
  <si>
    <t xml:space="preserve">   Equipo de precinto, etiqueta y despacho</t>
  </si>
  <si>
    <t xml:space="preserve">R302</t>
  </si>
  <si>
    <t xml:space="preserve">R304, R012, R011</t>
  </si>
  <si>
    <t xml:space="preserve">Balanceo-FLAMA2035.xlsx (Fran) · hoja Carga, celda M124</t>
  </si>
  <si>
    <t xml:space="preserve">R305, R306</t>
  </si>
  <si>
    <t xml:space="preserve">Balanceo-FLAMA2035.xlsx (Fran) · hoja Carga, celda F125</t>
  </si>
  <si>
    <t xml:space="preserve">   Equipo de inutilización y disposición final</t>
  </si>
  <si>
    <t xml:space="preserve">R305</t>
  </si>
  <si>
    <t xml:space="preserve">R307, R012, R011</t>
  </si>
  <si>
    <t xml:space="preserve">Balanceo-FLAMA2035.xlsx (Fran) · hoja Carga, celda M125</t>
  </si>
  <si>
    <t xml:space="preserve">R308, R309</t>
  </si>
  <si>
    <t xml:space="preserve">Balanceo-FLAMA2035.xlsx (Fran) · hoja Carga, celda F126</t>
  </si>
  <si>
    <t xml:space="preserve">   Equipo de ph de mangueras (co₂ y rodantes)</t>
  </si>
  <si>
    <t xml:space="preserve">R308</t>
  </si>
  <si>
    <t xml:space="preserve">R310, R012, R011</t>
  </si>
  <si>
    <t xml:space="preserve">Balanceo-FLAMA2035.xlsx (Fran) · hoja Carga, celda M126</t>
  </si>
  <si>
    <t xml:space="preserve">   Jaulas del pulmón de recepción</t>
  </si>
  <si>
    <t xml:space="preserve">½ día de recargas</t>
  </si>
  <si>
    <t xml:space="preserve">R311, R012, R011</t>
  </si>
  <si>
    <t xml:space="preserve">Balanceo-FLAMA2035.xlsx (Fran) · hoja Carga, celda M128</t>
  </si>
  <si>
    <t xml:space="preserve">   Jaulas del pulmón de despacho</t>
  </si>
  <si>
    <t xml:space="preserve">R313, R012, R011</t>
  </si>
  <si>
    <t xml:space="preserve">Balanceo-FLAMA2035.xlsx (Fran) · hoja Carga, celda M129</t>
  </si>
  <si>
    <t xml:space="preserve">REFERENCIAS — de dónde sale cada número</t>
  </si>
  <si>
    <t xml:space="preserve">Largo = la medida mayor en planta y ancho = la menor. Las celdas de Fran se leen de los Excel de la carpeta EXTRA FRAN; el texto es la fila o el renglón tal como está en la fuente.</t>
  </si>
  <si>
    <t xml:space="preserve">ID</t>
  </si>
  <si>
    <t xml:space="preserve">Dato</t>
  </si>
  <si>
    <t xml:space="preserve">Valor</t>
  </si>
  <si>
    <t xml:space="preserve">Unidad</t>
  </si>
  <si>
    <t xml:space="preserve">Documento</t>
  </si>
  <si>
    <t xml:space="preserve">Dónde</t>
  </si>
  <si>
    <t xml:space="preserve">Texto en la fuente</t>
  </si>
  <si>
    <t xml:space="preserve">Link</t>
  </si>
  <si>
    <t xml:space="preserve">R001</t>
  </si>
  <si>
    <t xml:space="preserve">Estante: frente del módulo</t>
  </si>
  <si>
    <t xml:space="preserve">mm</t>
  </si>
  <si>
    <t xml:space="preserve">PULMONES-FLAMA2035.xlsx (Fran)</t>
  </si>
  <si>
    <t xml:space="preserve">hoja Parametros, celda B7</t>
  </si>
  <si>
    <t xml:space="preserve">Frente del módulo → 1200.0</t>
  </si>
  <si>
    <t xml:space="preserve">R002</t>
  </si>
  <si>
    <t xml:space="preserve">Estante: fondo del módulo</t>
  </si>
  <si>
    <t xml:space="preserve">hoja Parametros, celda B8</t>
  </si>
  <si>
    <t xml:space="preserve">Fondo del módulo → 600.0</t>
  </si>
  <si>
    <t xml:space="preserve">R003</t>
  </si>
  <si>
    <t xml:space="preserve">Estante: alto del bastidor</t>
  </si>
  <si>
    <t xml:space="preserve">hoja Parametros, celda B9</t>
  </si>
  <si>
    <t xml:space="preserve">Alto del bastidor → 2000.0</t>
  </si>
  <si>
    <t xml:space="preserve">R004</t>
  </si>
  <si>
    <t xml:space="preserve">Carro porta-bandejas: largo</t>
  </si>
  <si>
    <t xml:space="preserve">hoja Parametros, celda D42</t>
  </si>
  <si>
    <t xml:space="preserve">m² del lugar del carro en el origen → Carro de 1,3 × 0,7 m con lugar para maniobrar</t>
  </si>
  <si>
    <t xml:space="preserve">R005</t>
  </si>
  <si>
    <t xml:space="preserve">Carro porta-bandejas: ancho</t>
  </si>
  <si>
    <t xml:space="preserve">R006</t>
  </si>
  <si>
    <t xml:space="preserve">Carro de 12 cajones: medida</t>
  </si>
  <si>
    <t xml:space="preserve">hoja Parametros, celda D38</t>
  </si>
  <si>
    <t xml:space="preserve">Carro de 12 cajones: 4 niveles de 3 cajones de 600 × 400 … si no, se pide igual al porta-bandejas con 4 niveles.</t>
  </si>
  <si>
    <t xml:space="preserve">R007</t>
  </si>
  <si>
    <t xml:space="preserve">Rack: frente del vano</t>
  </si>
  <si>
    <t xml:space="preserve">m</t>
  </si>
  <si>
    <t xml:space="preserve">hoja Parametros, celda B56</t>
  </si>
  <si>
    <t xml:space="preserve">Frente del vano → 2.7</t>
  </si>
  <si>
    <t xml:space="preserve">R008</t>
  </si>
  <si>
    <t xml:space="preserve">Rack: fondo</t>
  </si>
  <si>
    <t xml:space="preserve">hoja Parametros, celda B57</t>
  </si>
  <si>
    <t xml:space="preserve">Fondo del rack → 1.2</t>
  </si>
  <si>
    <t xml:space="preserve">R009</t>
  </si>
  <si>
    <t xml:space="preserve">Rack: vanos</t>
  </si>
  <si>
    <t xml:space="preserve">u</t>
  </si>
  <si>
    <t xml:space="preserve">hoja Equipos, celda B12</t>
  </si>
  <si>
    <t xml:space="preserve">Rack de pallets: vanos de 2,7 m × 3 niveles → 2</t>
  </si>
  <si>
    <t xml:space="preserve">R010</t>
  </si>
  <si>
    <t xml:space="preserve">Factor de circulación de lo que espera en el piso</t>
  </si>
  <si>
    <t xml:space="preserve">×</t>
  </si>
  <si>
    <t xml:space="preserve">hoja Parametros, celda B46</t>
  </si>
  <si>
    <t xml:space="preserve">Factor de circulación para lo que espera en el piso → 1.4</t>
  </si>
  <si>
    <t xml:space="preserve">R011</t>
  </si>
  <si>
    <t xml:space="preserve">Jaula de recargas: largo</t>
  </si>
  <si>
    <t xml:space="preserve">Balanceo-FLAMA2035.xlsx (Fran)</t>
  </si>
  <si>
    <t xml:space="preserve">hoja Parametros, celda A52</t>
  </si>
  <si>
    <t xml:space="preserve">Matafuegos por jaula paletizable (1,2 × 1,0 m) → 28</t>
  </si>
  <si>
    <t xml:space="preserve">R012</t>
  </si>
  <si>
    <t xml:space="preserve">Jaula de recargas: ancho</t>
  </si>
  <si>
    <t xml:space="preserve">R013</t>
  </si>
  <si>
    <t xml:space="preserve">Carros por tramo con tandas (propuesta)</t>
  </si>
  <si>
    <t xml:space="preserve">Pedido del grupo en la revisión del Excel</t>
  </si>
  <si>
    <t xml:space="preserve">pedido en el chat de revisión</t>
  </si>
  <si>
    <t xml:space="preserve">«no tiene sentido tener dos carretillas cuando se procesan por tandas»</t>
  </si>
  <si>
    <t xml:space="preserve">R014</t>
  </si>
  <si>
    <t xml:space="preserve">Guillotina 1: largo</t>
  </si>
  <si>
    <t xml:space="preserve">Internet · aviso ERMAK HGS 2600 X 6 (Exapro)</t>
  </si>
  <si>
    <t xml:space="preserve">datos técnicos del aviso</t>
  </si>
  <si>
    <t xml:space="preserve">3395 × 1880 × 1550 mm, 5.000 kg. Valor que muestra el buscador para esa página (desde acá no se puede abrir): verificarlo en el link</t>
  </si>
  <si>
    <t xml:space="preserve">R015</t>
  </si>
  <si>
    <t xml:space="preserve">Guillotina 1: ancho</t>
  </si>
  <si>
    <t xml:space="preserve">R016</t>
  </si>
  <si>
    <t xml:space="preserve">Guillotina 1: alto</t>
  </si>
  <si>
    <t xml:space="preserve">R017</t>
  </si>
  <si>
    <t xml:space="preserve">Guillotina 2: largo</t>
  </si>
  <si>
    <t xml:space="preserve">Internet · ficha QC12Y-6X2500 (goldsupplier)</t>
  </si>
  <si>
    <t xml:space="preserve">tabla de especificaciones</t>
  </si>
  <si>
    <t xml:space="preserve">Dimension(L*W*H) 3100x1620x1600mm</t>
  </si>
  <si>
    <t xml:space="preserve">R018</t>
  </si>
  <si>
    <t xml:space="preserve">Guillotina 2: ancho</t>
  </si>
  <si>
    <t xml:space="preserve">R019</t>
  </si>
  <si>
    <t xml:space="preserve">Guillotina 2: alto</t>
  </si>
  <si>
    <t xml:space="preserve">R020</t>
  </si>
  <si>
    <t xml:space="preserve">Prensa Sangiacomo: largo</t>
  </si>
  <si>
    <t xml:space="preserve">Internet · aviso Sangiacomo T130 R CE (Exapro)</t>
  </si>
  <si>
    <t xml:space="preserve">Length x width x height 1600.0 × 1300.0 × 3320.0. Valor que muestra el buscador para esa página (desde acá no se puede abrir): verificarlo en el link</t>
  </si>
  <si>
    <t xml:space="preserve">R021</t>
  </si>
  <si>
    <t xml:space="preserve">Prensa Sangiacomo: ancho</t>
  </si>
  <si>
    <t xml:space="preserve">R022</t>
  </si>
  <si>
    <t xml:space="preserve">Prensa Sangiacomo: alto</t>
  </si>
  <si>
    <t xml:space="preserve">R023</t>
  </si>
  <si>
    <t xml:space="preserve">Mesa elevadora: largo</t>
  </si>
  <si>
    <t xml:space="preserve">Internet · mesas de tijera de 3.000 kg (Workplace Products)</t>
  </si>
  <si>
    <t xml:space="preserve">tabla de mesas de 3.000 kg</t>
  </si>
  <si>
    <t xml:space="preserve">2500 × 1300 mm, 350 mm cerrada, 1930 mm de elevación. Valor que muestra el buscador para esa página (desde acá no se puede abrir): verificarlo en el link</t>
  </si>
  <si>
    <t xml:space="preserve">R024</t>
  </si>
  <si>
    <t xml:space="preserve">Mesa elevadora: ancho</t>
  </si>
  <si>
    <t xml:space="preserve">R025</t>
  </si>
  <si>
    <t xml:space="preserve">Mesa elevadora: alto</t>
  </si>
  <si>
    <t xml:space="preserve">R026</t>
  </si>
  <si>
    <t xml:space="preserve">Desbobinador TC-400: largo</t>
  </si>
  <si>
    <t xml:space="preserve">Cotización CENA · Devobinador CENA SRL 2026.pdf</t>
  </si>
  <si>
    <t xml:space="preserve">pág. 1, tabla del desbobinador, fila Dimensiones</t>
  </si>
  <si>
    <t xml:space="preserve">TC-200 / TC-300 / TC-400 … 1000×800×1100 / 1100×1000×1300 / 1200×1000×1300</t>
  </si>
  <si>
    <t xml:space="preserve">R027</t>
  </si>
  <si>
    <t xml:space="preserve">Desbobinador TC-400: ancho</t>
  </si>
  <si>
    <t xml:space="preserve">R028</t>
  </si>
  <si>
    <t xml:space="preserve">Desbobinador TC-400: alto</t>
  </si>
  <si>
    <t xml:space="preserve">R029</t>
  </si>
  <si>
    <t xml:space="preserve">Enderezadora SC-300: largo</t>
  </si>
  <si>
    <t xml:space="preserve">pág. 2, tabla SC, fila Dimensiones</t>
  </si>
  <si>
    <t xml:space="preserve">SC-300 … 800×550×1300</t>
  </si>
  <si>
    <t xml:space="preserve">R030</t>
  </si>
  <si>
    <t xml:space="preserve">Enderezadora SC-300: ancho</t>
  </si>
  <si>
    <t xml:space="preserve">R031</t>
  </si>
  <si>
    <t xml:space="preserve">Enderezadora SC-300: alto</t>
  </si>
  <si>
    <t xml:space="preserve">R032</t>
  </si>
  <si>
    <t xml:space="preserve">Soldadora FS-HPM: largo</t>
  </si>
  <si>
    <t xml:space="preserve">Catálogo Firesafer · FS Cylinder Production.pdf</t>
  </si>
  <si>
    <t xml:space="preserve">ficha FS-HPM, Dimensions</t>
  </si>
  <si>
    <t xml:space="preserve">1200mm×1400mmX1580mm (L×W×H)</t>
  </si>
  <si>
    <t xml:space="preserve">R033</t>
  </si>
  <si>
    <t xml:space="preserve">Soldadora FS-HPM: ancho</t>
  </si>
  <si>
    <t xml:space="preserve">R034</t>
  </si>
  <si>
    <t xml:space="preserve">Soldadora FS-HPM: alto</t>
  </si>
  <si>
    <t xml:space="preserve">R035</t>
  </si>
  <si>
    <t xml:space="preserve">Roladora FS-PM01: largo</t>
  </si>
  <si>
    <t xml:space="preserve">ficha FS-PM01, Dimensions</t>
  </si>
  <si>
    <r>
      <rPr>
        <sz val="10"/>
        <rFont val="WenQuanYi Zen Hei"/>
        <family val="2"/>
      </rPr>
      <t xml:space="preserve">机械尺寸</t>
    </r>
    <r>
      <rPr>
        <sz val="10"/>
        <rFont val="Arial"/>
        <family val="0"/>
        <charset val="1"/>
      </rPr>
      <t xml:space="preserve">/Dimensions 1800 1300 1250</t>
    </r>
  </si>
  <si>
    <t xml:space="preserve">R036</t>
  </si>
  <si>
    <t xml:space="preserve">Roladora FS-PM01: ancho</t>
  </si>
  <si>
    <t xml:space="preserve">R037</t>
  </si>
  <si>
    <t xml:space="preserve">Roladora FS-PM01: alto</t>
  </si>
  <si>
    <t xml:space="preserve">R038</t>
  </si>
  <si>
    <t xml:space="preserve">Soldadora ZF-500: largo</t>
  </si>
  <si>
    <t xml:space="preserve">Internet · ficha Z F 500 (china.org.ru)</t>
  </si>
  <si>
    <t xml:space="preserve">tabla de la ficha</t>
  </si>
  <si>
    <t xml:space="preserve">Z F 500 … 1320, 1000, 1800, 390 (columnas sin rótulo)</t>
  </si>
  <si>
    <t xml:space="preserve">R039</t>
  </si>
  <si>
    <t xml:space="preserve">Soldadora ZF-500: ancho</t>
  </si>
  <si>
    <t xml:space="preserve">R040</t>
  </si>
  <si>
    <t xml:space="preserve">Soldadora ZF-500: alto</t>
  </si>
  <si>
    <t xml:space="preserve">R041</t>
  </si>
  <si>
    <t xml:space="preserve">Bordoneadora AKM 250: largo</t>
  </si>
  <si>
    <t xml:space="preserve">Internet · aviso AK-BEND AKM 250 motor (resale.info)</t>
  </si>
  <si>
    <t xml:space="preserve">datos del aviso</t>
  </si>
  <si>
    <t xml:space="preserve">L-W-H 1,2 x 0,7 x 1,2, 295 kg. Valor que muestra el buscador para esa página (desde acá no se puede abrir): verificarlo en el link</t>
  </si>
  <si>
    <t xml:space="preserve">R042</t>
  </si>
  <si>
    <t xml:space="preserve">Bordoneadora AKM 250: ancho</t>
  </si>
  <si>
    <t xml:space="preserve">R043</t>
  </si>
  <si>
    <t xml:space="preserve">Bordoneadora AKM 250: alto</t>
  </si>
  <si>
    <t xml:space="preserve">R044</t>
  </si>
  <si>
    <t xml:space="preserve">Granalladora G-100: largo</t>
  </si>
  <si>
    <t xml:space="preserve">Cotización AirBlast · Memoria Descriptiva Shoteadora G-100</t>
  </si>
  <si>
    <t xml:space="preserve">Características técnicas</t>
  </si>
  <si>
    <t xml:space="preserve">medidas en planta: 4500 x 1300 x 2200 mm. (long. x ancho x altura)</t>
  </si>
  <si>
    <t xml:space="preserve">R045</t>
  </si>
  <si>
    <t xml:space="preserve">Granalladora G-100: ancho</t>
  </si>
  <si>
    <t xml:space="preserve">R046</t>
  </si>
  <si>
    <t xml:space="preserve">Granalladora G-100: alto</t>
  </si>
  <si>
    <t xml:space="preserve">R047</t>
  </si>
  <si>
    <t xml:space="preserve">Horno: largo</t>
  </si>
  <si>
    <t xml:space="preserve">Cotización de pintura (proforma 0001-001556)</t>
  </si>
  <si>
    <t xml:space="preserve">renglón 4</t>
  </si>
  <si>
    <t xml:space="preserve">2 Estructura de horno 6x2,44x2,44m</t>
  </si>
  <si>
    <t xml:space="preserve">R048</t>
  </si>
  <si>
    <t xml:space="preserve">Horno: ancho</t>
  </si>
  <si>
    <t xml:space="preserve">R049</t>
  </si>
  <si>
    <t xml:space="preserve">Horno: alto</t>
  </si>
  <si>
    <t xml:space="preserve">R050</t>
  </si>
  <si>
    <t xml:space="preserve">Hornos cotizados</t>
  </si>
  <si>
    <t xml:space="preserve">R051</t>
  </si>
  <si>
    <t xml:space="preserve">Cabina de pintura: largo</t>
  </si>
  <si>
    <t xml:space="preserve">renglón 7</t>
  </si>
  <si>
    <t xml:space="preserve">1 Cabina de pintura 2x1,5x2,44m</t>
  </si>
  <si>
    <t xml:space="preserve">R052</t>
  </si>
  <si>
    <t xml:space="preserve">Cabina de pintura: ancho</t>
  </si>
  <si>
    <t xml:space="preserve">R053</t>
  </si>
  <si>
    <t xml:space="preserve">Cabina de pintura: alto</t>
  </si>
  <si>
    <t xml:space="preserve">R054</t>
  </si>
  <si>
    <t xml:space="preserve">Cabinas cotizadas</t>
  </si>
  <si>
    <t xml:space="preserve">R055</t>
  </si>
  <si>
    <t xml:space="preserve">Cargadora M-000121: largo</t>
  </si>
  <si>
    <t xml:space="preserve">Cotización Yukon · Ficha Maq. carga M-000121</t>
  </si>
  <si>
    <t xml:space="preserve">Altura 1200 mm · Profundidad 620 mm · Ancho 510 mm</t>
  </si>
  <si>
    <t xml:space="preserve">R056</t>
  </si>
  <si>
    <t xml:space="preserve">Cargadora M-000121: ancho</t>
  </si>
  <si>
    <t xml:space="preserve">R057</t>
  </si>
  <si>
    <t xml:space="preserve">Cargadora M-000121: alto</t>
  </si>
  <si>
    <t xml:space="preserve">R058</t>
  </si>
  <si>
    <t xml:space="preserve">Roscadora FS-NGNP: largo</t>
  </si>
  <si>
    <t xml:space="preserve">Catálogo Firesafer · Filling Line Series 2026.pdf</t>
  </si>
  <si>
    <t xml:space="preserve">ficha FS-NGNP</t>
  </si>
  <si>
    <t xml:space="preserve">Machine Dimension 650*500*1450mm</t>
  </si>
  <si>
    <t xml:space="preserve">R059</t>
  </si>
  <si>
    <t xml:space="preserve">Roscadora FS-NGNP: ancho</t>
  </si>
  <si>
    <t xml:space="preserve">R060</t>
  </si>
  <si>
    <t xml:space="preserve">Roscadora FS-NGNP: alto</t>
  </si>
  <si>
    <t xml:space="preserve">R061</t>
  </si>
  <si>
    <t xml:space="preserve">Tanque FS-SS100: largo</t>
  </si>
  <si>
    <t xml:space="preserve">ficha FS-SS100</t>
  </si>
  <si>
    <t xml:space="preserve">Dimension 1000 * 1800 * 900mm</t>
  </si>
  <si>
    <t xml:space="preserve">R062</t>
  </si>
  <si>
    <t xml:space="preserve">Tanque FS-SS100: ancho</t>
  </si>
  <si>
    <t xml:space="preserve">R063</t>
  </si>
  <si>
    <t xml:space="preserve">Tanque FS-SS100: alto</t>
  </si>
  <si>
    <t xml:space="preserve">R064</t>
  </si>
  <si>
    <t xml:space="preserve">Envolvedora PS 5: largo</t>
  </si>
  <si>
    <t xml:space="preserve">Cotización EDOS · Folleto Recubridor PS5 V21</t>
  </si>
  <si>
    <t xml:space="preserve">Características Técnicas</t>
  </si>
  <si>
    <t xml:space="preserve">Área de instalación apróximada 1500 x 3000 x 2500 (h)</t>
  </si>
  <si>
    <t xml:space="preserve">R065</t>
  </si>
  <si>
    <t xml:space="preserve">Envolvedora PS 5: ancho</t>
  </si>
  <si>
    <t xml:space="preserve">R066</t>
  </si>
  <si>
    <t xml:space="preserve">Envolvedora PS 5: alto</t>
  </si>
  <si>
    <t xml:space="preserve">R067</t>
  </si>
  <si>
    <t xml:space="preserve">Envolvedoras</t>
  </si>
  <si>
    <t xml:space="preserve">pág. 1</t>
  </si>
  <si>
    <t xml:space="preserve">Equipo: PS 5</t>
  </si>
  <si>
    <t xml:space="preserve">R068</t>
  </si>
  <si>
    <t xml:space="preserve">Marcadora FS-0001: largo</t>
  </si>
  <si>
    <t xml:space="preserve">ficha FS-0001, Dimensions</t>
  </si>
  <si>
    <t xml:space="preserve">1250X750X1200 (LXWXH)</t>
  </si>
  <si>
    <t xml:space="preserve">R069</t>
  </si>
  <si>
    <t xml:space="preserve">Marcadora FS-0001: ancho</t>
  </si>
  <si>
    <t xml:space="preserve">R070</t>
  </si>
  <si>
    <t xml:space="preserve">Marcadora FS-0001: alto</t>
  </si>
  <si>
    <t xml:space="preserve">R071</t>
  </si>
  <si>
    <t xml:space="preserve">PH M-000200: largo</t>
  </si>
  <si>
    <t xml:space="preserve">Cotización Yukon · Ficha Maq. P.H. M-000200</t>
  </si>
  <si>
    <t xml:space="preserve">Características técnicas sin mesa</t>
  </si>
  <si>
    <t xml:space="preserve">Altura 1050 mm · Profundidad 400 mm · Ancho 950 mm</t>
  </si>
  <si>
    <t xml:space="preserve">R072</t>
  </si>
  <si>
    <t xml:space="preserve">PH M-000200: ancho</t>
  </si>
  <si>
    <t xml:space="preserve">R073</t>
  </si>
  <si>
    <t xml:space="preserve">PH M-000200: alto</t>
  </si>
  <si>
    <t xml:space="preserve">R074</t>
  </si>
  <si>
    <t xml:space="preserve">Secadora FS-D4: largo</t>
  </si>
  <si>
    <t xml:space="preserve">cm</t>
  </si>
  <si>
    <t xml:space="preserve">Catálogo Firesafer · FS 2026 SERVICE LISTS 05.pdf</t>
  </si>
  <si>
    <t xml:space="preserve">ficha FS-D4</t>
  </si>
  <si>
    <t xml:space="preserve">Overall Size 100 cm * 46.2 cm * 110 cm</t>
  </si>
  <si>
    <t xml:space="preserve">R075</t>
  </si>
  <si>
    <t xml:space="preserve">Secadora FS-D4: ancho</t>
  </si>
  <si>
    <t xml:space="preserve">R076</t>
  </si>
  <si>
    <t xml:space="preserve">Secadora FS-D4: alto</t>
  </si>
  <si>
    <t xml:space="preserve">R077</t>
  </si>
  <si>
    <t xml:space="preserve">Roladora W11-6×1500: largo</t>
  </si>
  <si>
    <t xml:space="preserve">Internet · ficha W11-10X2000 / serie W11 (goldsupplier)</t>
  </si>
  <si>
    <t xml:space="preserve">tabla de la serie W11, fila 6×1500</t>
  </si>
  <si>
    <t xml:space="preserve">W11-6×1500 … 331*121*133 (sin unidad; se lee en cm). Valor que muestra el buscador para esa página (desde acá no se puede abrir): verificarlo en el link</t>
  </si>
  <si>
    <t xml:space="preserve">R078</t>
  </si>
  <si>
    <t xml:space="preserve">Roladora W11-6×1500: ancho</t>
  </si>
  <si>
    <t xml:space="preserve">R079</t>
  </si>
  <si>
    <t xml:space="preserve">Roladora W11-6×1500: alto</t>
  </si>
  <si>
    <t xml:space="preserve">R080</t>
  </si>
  <si>
    <t xml:space="preserve">Virador motriz: largo</t>
  </si>
  <si>
    <t xml:space="preserve">Internet · ProArc TR-0100 (Westermans)</t>
  </si>
  <si>
    <t xml:space="preserve">Dimensions</t>
  </si>
  <si>
    <t xml:space="preserve">L470/450mm W320/160mm H334/334mm (drive/idler)</t>
  </si>
  <si>
    <t xml:space="preserve">R081</t>
  </si>
  <si>
    <t xml:space="preserve">Virador motriz: ancho</t>
  </si>
  <si>
    <t xml:space="preserve">R082</t>
  </si>
  <si>
    <t xml:space="preserve">Virador motriz: alto</t>
  </si>
  <si>
    <t xml:space="preserve">R083</t>
  </si>
  <si>
    <t xml:space="preserve">Virador loco: largo</t>
  </si>
  <si>
    <t xml:space="preserve">R084</t>
  </si>
  <si>
    <t xml:space="preserve">Virador loco: ancho</t>
  </si>
  <si>
    <t xml:space="preserve">R085</t>
  </si>
  <si>
    <t xml:space="preserve">Virador loco: alto</t>
  </si>
  <si>
    <t xml:space="preserve">R086</t>
  </si>
  <si>
    <t xml:space="preserve">Soldadora ZH-1300: largo</t>
  </si>
  <si>
    <t xml:space="preserve">Cotización Dragon Welding · PROFORMA INVOICE 26091611.pdf</t>
  </si>
  <si>
    <t xml:space="preserve">ítem 01</t>
  </si>
  <si>
    <t xml:space="preserve">Size: 230x114x180cm</t>
  </si>
  <si>
    <t xml:space="preserve">R087</t>
  </si>
  <si>
    <t xml:space="preserve">Soldadora ZH-1300: ancho</t>
  </si>
  <si>
    <t xml:space="preserve">R088</t>
  </si>
  <si>
    <t xml:space="preserve">Soldadora ZH-1300: alto</t>
  </si>
  <si>
    <t xml:space="preserve">R089</t>
  </si>
  <si>
    <t xml:space="preserve">Chiller SDL-1000 (embalaje): largo</t>
  </si>
  <si>
    <t xml:space="preserve">ítem 03</t>
  </si>
  <si>
    <t xml:space="preserve">Packing size: 72x53x87cm</t>
  </si>
  <si>
    <t xml:space="preserve">R090</t>
  </si>
  <si>
    <t xml:space="preserve">Chiller SDL-1000 (embalaje): ancho</t>
  </si>
  <si>
    <t xml:space="preserve">R091</t>
  </si>
  <si>
    <t xml:space="preserve">Chiller SDL-1000 (embalaje): alto</t>
  </si>
  <si>
    <t xml:space="preserve">R092</t>
  </si>
  <si>
    <t xml:space="preserve">FS-ZR01: largo</t>
  </si>
  <si>
    <t xml:space="preserve">ficha FS-ZR01</t>
  </si>
  <si>
    <t xml:space="preserve">Machine Size 80 cm * 40 cm * 135 cm</t>
  </si>
  <si>
    <t xml:space="preserve">R093</t>
  </si>
  <si>
    <t xml:space="preserve">FS-ZR01: ancho</t>
  </si>
  <si>
    <t xml:space="preserve">R094</t>
  </si>
  <si>
    <t xml:space="preserve">FS-ZR01: alto</t>
  </si>
  <si>
    <t xml:space="preserve">R095</t>
  </si>
  <si>
    <t xml:space="preserve">FS-SJML01: largo</t>
  </si>
  <si>
    <t xml:space="preserve">ficha FS-SJML01</t>
  </si>
  <si>
    <t xml:space="preserve">Machine Size 60 cm * 58 cm * 95 cm</t>
  </si>
  <si>
    <t xml:space="preserve">R096</t>
  </si>
  <si>
    <t xml:space="preserve">FS-SJML01: ancho</t>
  </si>
  <si>
    <t xml:space="preserve">R097</t>
  </si>
  <si>
    <t xml:space="preserve">FS-SJML01: alto</t>
  </si>
  <si>
    <t xml:space="preserve">R098</t>
  </si>
  <si>
    <t xml:space="preserve">FS-CO2E: largo</t>
  </si>
  <si>
    <t xml:space="preserve">ficha FS-CO2E</t>
  </si>
  <si>
    <t xml:space="preserve">Machine Size 65 cm * 55 cm * 105 cm</t>
  </si>
  <si>
    <t xml:space="preserve">R099</t>
  </si>
  <si>
    <t xml:space="preserve">FS-CO2E: ancho</t>
  </si>
  <si>
    <t xml:space="preserve">R100</t>
  </si>
  <si>
    <t xml:space="preserve">FS-CO2E: alto</t>
  </si>
  <si>
    <t xml:space="preserve">R101</t>
  </si>
  <si>
    <t xml:space="preserve">Bomba FS-HPT1: largo</t>
  </si>
  <si>
    <t xml:space="preserve">ficha FS-HPT1</t>
  </si>
  <si>
    <t xml:space="preserve">Pressure Test Pump Size 93 cm * 59 cm * 98 cm</t>
  </si>
  <si>
    <t xml:space="preserve">R102</t>
  </si>
  <si>
    <t xml:space="preserve">Bomba FS-HPT1: ancho</t>
  </si>
  <si>
    <t xml:space="preserve">R103</t>
  </si>
  <si>
    <t xml:space="preserve">Bomba FS-HPT1: alto</t>
  </si>
  <si>
    <t xml:space="preserve">R104</t>
  </si>
  <si>
    <t xml:space="preserve">Banco FS-HPT1: largo</t>
  </si>
  <si>
    <t xml:space="preserve">Station Size 101 cm * 56 cm * 120 cm</t>
  </si>
  <si>
    <t xml:space="preserve">R105</t>
  </si>
  <si>
    <t xml:space="preserve">Banco FS-HPT1: ancho</t>
  </si>
  <si>
    <t xml:space="preserve">R106</t>
  </si>
  <si>
    <t xml:space="preserve">Banco FS-HPT1: alto</t>
  </si>
  <si>
    <t xml:space="preserve">R107</t>
  </si>
  <si>
    <t xml:space="preserve">Morsa FS-MC: largo</t>
  </si>
  <si>
    <t xml:space="preserve">ficha FS-MC</t>
  </si>
  <si>
    <t xml:space="preserve">Overall Size 76 cm * 35 cm * 32 cm</t>
  </si>
  <si>
    <t xml:space="preserve">R108</t>
  </si>
  <si>
    <t xml:space="preserve">Morsa FS-MC: ancho</t>
  </si>
  <si>
    <t xml:space="preserve">R109</t>
  </si>
  <si>
    <t xml:space="preserve">Morsa FS-MC: alto</t>
  </si>
  <si>
    <t xml:space="preserve">R110</t>
  </si>
  <si>
    <t xml:space="preserve">FS-N2: largo</t>
  </si>
  <si>
    <t xml:space="preserve">ficha FS-N2</t>
  </si>
  <si>
    <t xml:space="preserve">Overall Size 58.5 cm * 50 cm * 100 cm</t>
  </si>
  <si>
    <t xml:space="preserve">R111</t>
  </si>
  <si>
    <t xml:space="preserve">FS-N2: ancho</t>
  </si>
  <si>
    <t xml:space="preserve">R112</t>
  </si>
  <si>
    <t xml:space="preserve">FS-N2: alto</t>
  </si>
  <si>
    <t xml:space="preserve">R113</t>
  </si>
  <si>
    <t xml:space="preserve">Máquinas del puesto 4 de manuales</t>
  </si>
  <si>
    <t xml:space="preserve">hoja Carga, celda R37</t>
  </si>
  <si>
    <t xml:space="preserve">Puesto 4: Corte de disco y embutido (cúpula y fondo) · Máq. → 1</t>
  </si>
  <si>
    <t xml:space="preserve">R114</t>
  </si>
  <si>
    <t xml:space="preserve">Rollo más pesado (cúpula 5 kg)</t>
  </si>
  <si>
    <t xml:space="preserve">Rollo de 1.181 kg · Ø 1.094</t>
  </si>
  <si>
    <t xml:space="preserve">texto</t>
  </si>
  <si>
    <t xml:space="preserve">MP-FLAMA2035.xlsx (Fran)</t>
  </si>
  <si>
    <t xml:space="preserve">hoja Resumen, celda B31</t>
  </si>
  <si>
    <t xml:space="preserve">MP-07 · Fleje LAF 1,6 × 204,2 mm (cúpula 5 kg) → Rollo de 1.181 kg · Ø 1.094</t>
  </si>
  <si>
    <t xml:space="preserve">https://drive.google.com/file/d/1R3_p43lPLX9DZCkMme8r_K2Tc-CYtJ40/view</t>
  </si>
  <si>
    <t xml:space="preserve">R115</t>
  </si>
  <si>
    <t xml:space="preserve">Fleje más ancho (cúpula 10 kg)</t>
  </si>
  <si>
    <t xml:space="preserve">MP-09 · Fleje LAF 2,0 × 238,7 mm (cúpula 10 kg)</t>
  </si>
  <si>
    <t xml:space="preserve">hoja Resumen, celda A33</t>
  </si>
  <si>
    <t xml:space="preserve">MP-09 · Fleje LAF 2,0 × 238,7 mm (cúpula 10 kg) → MP-09 · Fleje LAF 2,0 × 238,7 mm (cúpula 10 kg)</t>
  </si>
  <si>
    <t xml:space="preserve">R116</t>
  </si>
  <si>
    <t xml:space="preserve">Carros del tramo: fondos</t>
  </si>
  <si>
    <t xml:space="preserve">hoja Pulmones, celda S10</t>
  </si>
  <si>
    <t xml:space="preserve">Fondos · Carros de tránsito → 1</t>
  </si>
  <si>
    <t xml:space="preserve">R117</t>
  </si>
  <si>
    <t xml:space="preserve">Carros del tramo: cúpulas</t>
  </si>
  <si>
    <t xml:space="preserve">hoja Pulmones, celda S11</t>
  </si>
  <si>
    <t xml:space="preserve">Cúpulas · Carros de tránsito → 1</t>
  </si>
  <si>
    <t xml:space="preserve">Máquinas del puesto 5 de manuales</t>
  </si>
  <si>
    <t xml:space="preserve">hoja Carga, celda R38</t>
  </si>
  <si>
    <t xml:space="preserve">Puesto 5: Preparación de cuello · Máq. → 2</t>
  </si>
  <si>
    <t xml:space="preserve">R119</t>
  </si>
  <si>
    <t xml:space="preserve">Máquinas del puesto 7 de manuales</t>
  </si>
  <si>
    <t xml:space="preserve">hoja Carga, celda R40</t>
  </si>
  <si>
    <t xml:space="preserve">Puesto 7: Soldadura del cuello a la cúpula · Máq. → 1</t>
  </si>
  <si>
    <t xml:space="preserve">R120</t>
  </si>
  <si>
    <t xml:space="preserve">Módulos de estante: cúpulas</t>
  </si>
  <si>
    <t xml:space="preserve">hoja Pulmones, celda O11</t>
  </si>
  <si>
    <t xml:space="preserve">Cúpulas · Módulos de estante → 2</t>
  </si>
  <si>
    <t xml:space="preserve">R121</t>
  </si>
  <si>
    <t xml:space="preserve">Carros del tramo: cúpulas con cuello</t>
  </si>
  <si>
    <t xml:space="preserve">hoja Pulmones, celda S13</t>
  </si>
  <si>
    <t xml:space="preserve">Cúpulas con cuello · Carros de tránsito → 1</t>
  </si>
  <si>
    <t xml:space="preserve">R122</t>
  </si>
  <si>
    <t xml:space="preserve">Máquinas del puesto 8 de manuales</t>
  </si>
  <si>
    <t xml:space="preserve">hoja Carga, celda R41</t>
  </si>
  <si>
    <t xml:space="preserve">Puesto 8: Cilindrado · Máq. → 1</t>
  </si>
  <si>
    <t xml:space="preserve">R123</t>
  </si>
  <si>
    <t xml:space="preserve">Carros del tramo: virolas</t>
  </si>
  <si>
    <t xml:space="preserve">hoja Pulmones, celda S8</t>
  </si>
  <si>
    <t xml:space="preserve">Virolas · Carros de tránsito → 1</t>
  </si>
  <si>
    <t xml:space="preserve">R124</t>
  </si>
  <si>
    <t xml:space="preserve">Máquinas del puesto 9 de manuales</t>
  </si>
  <si>
    <t xml:space="preserve">hoja Carga, celda R42</t>
  </si>
  <si>
    <t xml:space="preserve">Puesto 9: Soldadura longitudinal — 2,5 a 10 kg · Máq. → 1</t>
  </si>
  <si>
    <t xml:space="preserve">R125</t>
  </si>
  <si>
    <t xml:space="preserve">Módulos de estante: virolas</t>
  </si>
  <si>
    <t xml:space="preserve">hoja Pulmones, celda O8</t>
  </si>
  <si>
    <t xml:space="preserve">Virolas · Módulos de estante → 7</t>
  </si>
  <si>
    <t xml:space="preserve">R126</t>
  </si>
  <si>
    <t xml:space="preserve">Carros del tramo: cuerpos soldados</t>
  </si>
  <si>
    <t xml:space="preserve">hoja Pulmones, celda S9</t>
  </si>
  <si>
    <t xml:space="preserve">Cuerpos soldados · Carros de tránsito → 2</t>
  </si>
  <si>
    <t xml:space="preserve">Máquinas del puesto 10 de manuales</t>
  </si>
  <si>
    <t xml:space="preserve">hoja Carga, celda R43</t>
  </si>
  <si>
    <t xml:space="preserve">Puesto 10: Soldadura longitudinal TIG — 1 kg · Máq. → 1</t>
  </si>
  <si>
    <t xml:space="preserve">Máquinas del puesto 11 de manuales</t>
  </si>
  <si>
    <t xml:space="preserve">hoja Carga, celda R44</t>
  </si>
  <si>
    <t xml:space="preserve">Puesto 11: Encastre de fondo · Máq. → 1</t>
  </si>
  <si>
    <t xml:space="preserve">R129</t>
  </si>
  <si>
    <t xml:space="preserve">Módulos de estante: cuerpos soldados</t>
  </si>
  <si>
    <t xml:space="preserve">hoja Pulmones, celda O9</t>
  </si>
  <si>
    <t xml:space="preserve">Cuerpos soldados · Módulos de estante → 4</t>
  </si>
  <si>
    <t xml:space="preserve">R130</t>
  </si>
  <si>
    <t xml:space="preserve">Módulos de estante: fondos</t>
  </si>
  <si>
    <t xml:space="preserve">hoja Pulmones, celda O10</t>
  </si>
  <si>
    <t xml:space="preserve">Fondos · Módulos de estante → 2</t>
  </si>
  <si>
    <t xml:space="preserve">R131</t>
  </si>
  <si>
    <t xml:space="preserve">Carros del tramo: cuerpos con fondo</t>
  </si>
  <si>
    <t xml:space="preserve">hoja Pulmones, celda S14</t>
  </si>
  <si>
    <t xml:space="preserve">Cuerpos con fondo · Carros de tránsito → 2</t>
  </si>
  <si>
    <t xml:space="preserve">R132</t>
  </si>
  <si>
    <t xml:space="preserve">Máquinas del puesto 12 de manuales</t>
  </si>
  <si>
    <t xml:space="preserve">hoja Carga, celda R45</t>
  </si>
  <si>
    <t xml:space="preserve">Puesto 12: Bordoneado · Máq. → 1</t>
  </si>
  <si>
    <t xml:space="preserve">R133</t>
  </si>
  <si>
    <t xml:space="preserve">Carros del tramo: cuerpos bordoneados</t>
  </si>
  <si>
    <t xml:space="preserve">hoja Pulmones, celda S15</t>
  </si>
  <si>
    <t xml:space="preserve">Cuerpos bordoneados · Carros de tránsito → 1</t>
  </si>
  <si>
    <t xml:space="preserve">Máquinas del puesto 13 de manuales</t>
  </si>
  <si>
    <t xml:space="preserve">hoja Carga, celda R46</t>
  </si>
  <si>
    <t xml:space="preserve">Puesto 13: Soldadura circunferencial de cúpula y fondo · Máq. → 2</t>
  </si>
  <si>
    <t xml:space="preserve">R135</t>
  </si>
  <si>
    <t xml:space="preserve">Módulos de estante: cúpulas con cuello</t>
  </si>
  <si>
    <t xml:space="preserve">hoja Pulmones, celda O13</t>
  </si>
  <si>
    <t xml:space="preserve">Cúpulas con cuello · Módulos de estante → 1</t>
  </si>
  <si>
    <t xml:space="preserve">R136</t>
  </si>
  <si>
    <t xml:space="preserve">Módulos de estante: cuerpos bordoneados</t>
  </si>
  <si>
    <t xml:space="preserve">hoja Pulmones, celda O15</t>
  </si>
  <si>
    <t xml:space="preserve">Cuerpos bordoneados · Módulos de estante → 7</t>
  </si>
  <si>
    <t xml:space="preserve">R137</t>
  </si>
  <si>
    <t xml:space="preserve">Carros del tramo: cilindros soldados</t>
  </si>
  <si>
    <t xml:space="preserve">hoja Pulmones, celda S16</t>
  </si>
  <si>
    <t xml:space="preserve">Cilindros soldados · Carros de tránsito → 5</t>
  </si>
  <si>
    <t xml:space="preserve">Máquinas del puesto 14 de manuales</t>
  </si>
  <si>
    <t xml:space="preserve">hoja Carga, celda R47</t>
  </si>
  <si>
    <t xml:space="preserve">Puesto 14: Control de calidad — Espesor · Máq. → 1</t>
  </si>
  <si>
    <t xml:space="preserve">R139</t>
  </si>
  <si>
    <t xml:space="preserve">Máquinas del puesto 17 de manuales</t>
  </si>
  <si>
    <t xml:space="preserve">hoja Carga, celda R50</t>
  </si>
  <si>
    <t xml:space="preserve">Puesto 17: Granallado · Máq. → 1</t>
  </si>
  <si>
    <t xml:space="preserve">R140</t>
  </si>
  <si>
    <t xml:space="preserve">Carros del tramo: cilindros granallados</t>
  </si>
  <si>
    <t xml:space="preserve">hoja Pulmones, celda S19</t>
  </si>
  <si>
    <t xml:space="preserve">Cilindros granallados · Carros de tránsito → 1</t>
  </si>
  <si>
    <t xml:space="preserve">Máquinas del puesto 18 de manuales</t>
  </si>
  <si>
    <t xml:space="preserve">hoja Carga, celda R51</t>
  </si>
  <si>
    <t xml:space="preserve">Puesto 18: Detección de defectos · Máq. → 1</t>
  </si>
  <si>
    <t xml:space="preserve">Máquinas del puesto 19 de manuales</t>
  </si>
  <si>
    <t xml:space="preserve">hoja Carga, celda R52</t>
  </si>
  <si>
    <t xml:space="preserve">Puesto 19: Corrección de defectos · Máq. → 1</t>
  </si>
  <si>
    <t xml:space="preserve">R143</t>
  </si>
  <si>
    <t xml:space="preserve">Módulos de estante: cilindros granallados</t>
  </si>
  <si>
    <t xml:space="preserve">hoja Pulmones, celda O19</t>
  </si>
  <si>
    <t xml:space="preserve">Cilindros granallados · Módulos de estante → 2</t>
  </si>
  <si>
    <t xml:space="preserve">R144</t>
  </si>
  <si>
    <t xml:space="preserve">Carros del tramo: cilindros vacíos pintados</t>
  </si>
  <si>
    <t xml:space="preserve">hoja Pulmones, celda S20</t>
  </si>
  <si>
    <t xml:space="preserve">Cilindros vacíos pintados · Carros de tránsito → 2</t>
  </si>
  <si>
    <t xml:space="preserve">R145</t>
  </si>
  <si>
    <t xml:space="preserve">Carros del tramo: cilindros pintados para cargar</t>
  </si>
  <si>
    <t xml:space="preserve">hoja Pulmones, celda S21</t>
  </si>
  <si>
    <t xml:space="preserve">Cilindros pintados para cargar · Carros de tránsito → 2</t>
  </si>
  <si>
    <t xml:space="preserve">R146</t>
  </si>
  <si>
    <t xml:space="preserve">Máquinas del puesto 21 de manuales</t>
  </si>
  <si>
    <t xml:space="preserve">hoja Carga, celda R54</t>
  </si>
  <si>
    <t xml:space="preserve">Puesto 21: Carga de polvo · Máq. → 1</t>
  </si>
  <si>
    <t xml:space="preserve">R147</t>
  </si>
  <si>
    <t xml:space="preserve">Módulos de estante: cilindros pintados para cargar</t>
  </si>
  <si>
    <t xml:space="preserve">hoja Pulmones, celda O21</t>
  </si>
  <si>
    <t xml:space="preserve">Cilindros pintados para cargar · Módulos de estante → 4</t>
  </si>
  <si>
    <t xml:space="preserve">R148</t>
  </si>
  <si>
    <t xml:space="preserve">Carros del tramo: cilindros cargados de polvo</t>
  </si>
  <si>
    <t xml:space="preserve">hoja Pulmones, celda S22</t>
  </si>
  <si>
    <t xml:space="preserve">Cilindros cargados de polvo · Carros de tránsito → 1</t>
  </si>
  <si>
    <t xml:space="preserve">R149</t>
  </si>
  <si>
    <t xml:space="preserve">Máquinas del puesto 22 de manuales</t>
  </si>
  <si>
    <t xml:space="preserve">hoja Carga, celda R55</t>
  </si>
  <si>
    <t xml:space="preserve">Puesto 22: Ensamblaje · Máq. → 1</t>
  </si>
  <si>
    <t xml:space="preserve">R150</t>
  </si>
  <si>
    <t xml:space="preserve">Módulos de estante: cilindros cargados de polvo</t>
  </si>
  <si>
    <t xml:space="preserve">hoja Pulmones, celda O22</t>
  </si>
  <si>
    <t xml:space="preserve">Cilindros cargados de polvo · Módulos de estante → 3</t>
  </si>
  <si>
    <t xml:space="preserve">R151</t>
  </si>
  <si>
    <t xml:space="preserve">Carros del tramo: matafuegos armados</t>
  </si>
  <si>
    <t xml:space="preserve">hoja Pulmones, celda S23</t>
  </si>
  <si>
    <t xml:space="preserve">Matafuegos armados · Carros de tránsito → 1</t>
  </si>
  <si>
    <t xml:space="preserve">Máquinas del puesto 23 de manuales</t>
  </si>
  <si>
    <t xml:space="preserve">hoja Carga, celda R56</t>
  </si>
  <si>
    <t xml:space="preserve">Puesto 23: Presurización · Máq. → 1</t>
  </si>
  <si>
    <t xml:space="preserve">R153</t>
  </si>
  <si>
    <t xml:space="preserve">Módulos de estante: matafuegos armados</t>
  </si>
  <si>
    <t xml:space="preserve">hoja Pulmones, celda O23</t>
  </si>
  <si>
    <t xml:space="preserve">Matafuegos armados · Módulos de estante → 3</t>
  </si>
  <si>
    <t xml:space="preserve">R154</t>
  </si>
  <si>
    <t xml:space="preserve">Carros del tramo: matafuegos presurizados</t>
  </si>
  <si>
    <t xml:space="preserve">hoja Pulmones, celda S24</t>
  </si>
  <si>
    <t xml:space="preserve">Matafuegos presurizados · Carros de tránsito → 1</t>
  </si>
  <si>
    <t xml:space="preserve">R155</t>
  </si>
  <si>
    <t xml:space="preserve">Máquinas del puesto 24 de manuales</t>
  </si>
  <si>
    <t xml:space="preserve">hoja Carga, celda R57</t>
  </si>
  <si>
    <t xml:space="preserve">Puesto 24: Control de calidad — Ensayo de pérdidas · Máq. → 1</t>
  </si>
  <si>
    <t xml:space="preserve">R156</t>
  </si>
  <si>
    <t xml:space="preserve">Módulos de estante: matafuegos presurizados</t>
  </si>
  <si>
    <t xml:space="preserve">hoja Pulmones, celda O24</t>
  </si>
  <si>
    <t xml:space="preserve">Matafuegos presurizados · Módulos de estante → 1</t>
  </si>
  <si>
    <t xml:space="preserve">R157</t>
  </si>
  <si>
    <t xml:space="preserve">Carros del tramo: matafuegos ensayados</t>
  </si>
  <si>
    <t xml:space="preserve">hoja Pulmones, celda S25</t>
  </si>
  <si>
    <t xml:space="preserve">Matafuegos ensayados · Carros de tránsito → 1</t>
  </si>
  <si>
    <t xml:space="preserve">Máquinas del puesto 25 de manuales</t>
  </si>
  <si>
    <t xml:space="preserve">hoja Carga, celda R58</t>
  </si>
  <si>
    <t xml:space="preserve">Puesto 25: Etiquetado · Máq. → 1</t>
  </si>
  <si>
    <t xml:space="preserve">R159</t>
  </si>
  <si>
    <t xml:space="preserve">Módulos de estante: matafuegos ensayados</t>
  </si>
  <si>
    <t xml:space="preserve">hoja Pulmones, celda O25</t>
  </si>
  <si>
    <t xml:space="preserve">Matafuegos ensayados · Módulos de estante → 3</t>
  </si>
  <si>
    <t xml:space="preserve">R160</t>
  </si>
  <si>
    <t xml:space="preserve">Carros del tramo: matafuegos etiquetados</t>
  </si>
  <si>
    <t xml:space="preserve">hoja Pulmones, celda S26</t>
  </si>
  <si>
    <t xml:space="preserve">Matafuegos etiquetados · Carros de tránsito → 2</t>
  </si>
  <si>
    <t xml:space="preserve">Máquinas del puesto 26 de manuales</t>
  </si>
  <si>
    <t xml:space="preserve">hoja Carga, celda R59</t>
  </si>
  <si>
    <t xml:space="preserve">Puesto 26: Embalaje y paletizado · Máq. → 2</t>
  </si>
  <si>
    <t xml:space="preserve">R162</t>
  </si>
  <si>
    <t xml:space="preserve">Módulos de estante: cilindros vacíos pintados</t>
  </si>
  <si>
    <t xml:space="preserve">hoja Pulmones, celda O20</t>
  </si>
  <si>
    <t xml:space="preserve">Cilindros vacíos pintados · Módulos de estante → 2</t>
  </si>
  <si>
    <t xml:space="preserve">R163</t>
  </si>
  <si>
    <t xml:space="preserve">Máquinas del puesto 2 de manuales</t>
  </si>
  <si>
    <t xml:space="preserve">hoja Carga, celda R35</t>
  </si>
  <si>
    <t xml:space="preserve">Puesto 2: Corte de chapa — 1.er corte en franjas (guillotina 1, manuales + carros) · Máq. → 1</t>
  </si>
  <si>
    <t xml:space="preserve">R164</t>
  </si>
  <si>
    <t xml:space="preserve">Modelo de la guillotina 1</t>
  </si>
  <si>
    <t xml:space="preserve">Guillotina 1 — franjas (Ermaksan HGS 2600-6)</t>
  </si>
  <si>
    <t xml:space="preserve">hoja Lotes, celda A22</t>
  </si>
  <si>
    <t xml:space="preserve">Guillotina 1 — franjas (Ermaksan HGS 2600-6) → Guillotina 1 — franjas (Ermaksan HGS 2600-6)</t>
  </si>
  <si>
    <t xml:space="preserve">R165</t>
  </si>
  <si>
    <t xml:space="preserve">Máquinas del puesto 3 de manuales</t>
  </si>
  <si>
    <t xml:space="preserve">hoja Carga, celda R36</t>
  </si>
  <si>
    <t xml:space="preserve">Puesto 3: Corte de chapa — 2.º corte en piezas (guillotina 2, manuales + carros) · Máq. → 1</t>
  </si>
  <si>
    <t xml:space="preserve">R166</t>
  </si>
  <si>
    <t xml:space="preserve">Modelo de la guillotina 2</t>
  </si>
  <si>
    <t xml:space="preserve">Guillotina 2 — piezas (QC12Y 6 × 2500)</t>
  </si>
  <si>
    <t xml:space="preserve">hoja Lotes, celda A23</t>
  </si>
  <si>
    <t xml:space="preserve">Guillotina 2 — piezas (QC12Y 6 × 2500) → Guillotina 2 — piezas (QC12Y 6 × 2500)</t>
  </si>
  <si>
    <t xml:space="preserve">R167</t>
  </si>
  <si>
    <t xml:space="preserve">Mesas elevadoras 2</t>
  </si>
  <si>
    <t xml:space="preserve">hoja Pulmones, celda I6</t>
  </si>
  <si>
    <t xml:space="preserve">Sobre la mesa elevadora 2 (fija), en la guillotina 2</t>
  </si>
  <si>
    <t xml:space="preserve">R168</t>
  </si>
  <si>
    <t xml:space="preserve">Hoja más grande</t>
  </si>
  <si>
    <t xml:space="preserve">MP-04 · Hoja LAF 2,0 × 1500 × 3000 mm</t>
  </si>
  <si>
    <t xml:space="preserve">hoja Resumen, celda A24</t>
  </si>
  <si>
    <t xml:space="preserve">MP-04 · Hoja LAF 2,0 × 1500 × 3000 mm → MP-04 · Hoja LAF 2,0 × 1500 × 3000 mm</t>
  </si>
  <si>
    <t xml:space="preserve">R169</t>
  </si>
  <si>
    <t xml:space="preserve">Carros del tramo: desarrollos</t>
  </si>
  <si>
    <t xml:space="preserve">hoja Pulmones, celda S7</t>
  </si>
  <si>
    <t xml:space="preserve">Desarrollos · Carros de tránsito → 1</t>
  </si>
  <si>
    <t xml:space="preserve">R170</t>
  </si>
  <si>
    <t xml:space="preserve">Máquinas del puesto 6 de manuales</t>
  </si>
  <si>
    <t xml:space="preserve">hoja Carga, celda R39</t>
  </si>
  <si>
    <t xml:space="preserve">Puesto 6: Marcado del cuerpo (manuales + carros) · Máq. → 2</t>
  </si>
  <si>
    <t xml:space="preserve">R171</t>
  </si>
  <si>
    <t xml:space="preserve">Módulos de estante: desarrollos</t>
  </si>
  <si>
    <t xml:space="preserve">hoja Pulmones, celda O7</t>
  </si>
  <si>
    <t xml:space="preserve">Desarrollos · Módulos de estante → 3</t>
  </si>
  <si>
    <t xml:space="preserve">R172</t>
  </si>
  <si>
    <t xml:space="preserve">Máquinas del puesto 15 de manuales</t>
  </si>
  <si>
    <t xml:space="preserve">hoja Carga, celda R48</t>
  </si>
  <si>
    <t xml:space="preserve">Puesto 15: Prueba hidráulica · Máq. → 2</t>
  </si>
  <si>
    <t xml:space="preserve">R173</t>
  </si>
  <si>
    <t xml:space="preserve">Máquinas del puesto 9 de carros</t>
  </si>
  <si>
    <t xml:space="preserve">hoja Carga, celda M84</t>
  </si>
  <si>
    <t xml:space="preserve">Puesto 9: Prueba hidráulica · Máq. → 1</t>
  </si>
  <si>
    <t xml:space="preserve">R174</t>
  </si>
  <si>
    <t xml:space="preserve">Carros del tramo: cilindros mojados</t>
  </si>
  <si>
    <t xml:space="preserve">hoja Pulmones, celda S17</t>
  </si>
  <si>
    <t xml:space="preserve">Cilindros mojados · Carros de tránsito → 3</t>
  </si>
  <si>
    <t xml:space="preserve">R175</t>
  </si>
  <si>
    <t xml:space="preserve">Máquinas del puesto 16 de manuales</t>
  </si>
  <si>
    <t xml:space="preserve">hoja Carga, celda R49</t>
  </si>
  <si>
    <t xml:space="preserve">Puesto 16: Secado · Máq. → 4</t>
  </si>
  <si>
    <t xml:space="preserve">R176</t>
  </si>
  <si>
    <t xml:space="preserve">Máquinas del puesto 10 de carros</t>
  </si>
  <si>
    <t xml:space="preserve">hoja Carga, celda M85</t>
  </si>
  <si>
    <t xml:space="preserve">Puesto 10: Secado · Máq. → 1</t>
  </si>
  <si>
    <t xml:space="preserve">R177</t>
  </si>
  <si>
    <t xml:space="preserve">Carros del tramo: cilindros secos</t>
  </si>
  <si>
    <t xml:space="preserve">hoja Pulmones, celda S18</t>
  </si>
  <si>
    <t xml:space="preserve">Cilindros secos · Carros de tránsito → 3</t>
  </si>
  <si>
    <t xml:space="preserve">R178</t>
  </si>
  <si>
    <t xml:space="preserve">Máquinas del puesto 3 de carros</t>
  </si>
  <si>
    <t xml:space="preserve">hoja Carga, celda M77</t>
  </si>
  <si>
    <t xml:space="preserve">Puesto 3: Cilindrado · Máq. → 1</t>
  </si>
  <si>
    <t xml:space="preserve">R179</t>
  </si>
  <si>
    <t xml:space="preserve">Chapa de carros más gruesa</t>
  </si>
  <si>
    <t xml:space="preserve">MP-12 · Hoja LAC 4,75 × 1500 × 3000 mm</t>
  </si>
  <si>
    <t xml:space="preserve">hoja Resumen, celda A26</t>
  </si>
  <si>
    <t xml:space="preserve">MP-12 · Hoja LAC 4,75 × 1500 × 3000 mm → MP-12 · Hoja LAC 4,75 × 1500 × 3000 mm</t>
  </si>
  <si>
    <t xml:space="preserve">R180</t>
  </si>
  <si>
    <t xml:space="preserve">m² en el piso: cuerpos planos grabados</t>
  </si>
  <si>
    <t xml:space="preserve">m²</t>
  </si>
  <si>
    <t xml:space="preserve">hoja Carros, celda J6</t>
  </si>
  <si>
    <t xml:space="preserve">Cuerpos planos grabados · m² → 7.36</t>
  </si>
  <si>
    <t xml:space="preserve">R181</t>
  </si>
  <si>
    <t xml:space="preserve">Máquinas del puesto 4 de carros</t>
  </si>
  <si>
    <t xml:space="preserve">hoja Carga, celda M78</t>
  </si>
  <si>
    <t xml:space="preserve">Puesto 4: Punteo del cuerpo · Máq. → 1</t>
  </si>
  <si>
    <t xml:space="preserve">R182</t>
  </si>
  <si>
    <t xml:space="preserve">m² en el piso: virolas</t>
  </si>
  <si>
    <t xml:space="preserve">hoja Carros, celda J7</t>
  </si>
  <si>
    <t xml:space="preserve">Virolas · m² → 0.49</t>
  </si>
  <si>
    <t xml:space="preserve">R183</t>
  </si>
  <si>
    <t xml:space="preserve">Máquinas del puesto 5 de carros</t>
  </si>
  <si>
    <t xml:space="preserve">hoja Carga, celda M79</t>
  </si>
  <si>
    <t xml:space="preserve">Puesto 5: Soldadura longitudinal · Máq. → 1</t>
  </si>
  <si>
    <t xml:space="preserve">Máquinas del puesto 6 de carros</t>
  </si>
  <si>
    <t xml:space="preserve">hoja Carga, celda M80</t>
  </si>
  <si>
    <t xml:space="preserve">Puesto 6: Soldadura de cupla en la cúpula · Máq. → 1</t>
  </si>
  <si>
    <t xml:space="preserve">R185</t>
  </si>
  <si>
    <t xml:space="preserve">m² en el piso: cúpulas con cupla</t>
  </si>
  <si>
    <t xml:space="preserve">hoja Carros, celda J9</t>
  </si>
  <si>
    <t xml:space="preserve">Cúpulas con cupla · m² → 0.66</t>
  </si>
  <si>
    <t xml:space="preserve">R186</t>
  </si>
  <si>
    <t xml:space="preserve">Máquinas del puesto 7 de carros</t>
  </si>
  <si>
    <t xml:space="preserve">hoja Carga, celda M81</t>
  </si>
  <si>
    <t xml:space="preserve">Puesto 7: Armado y soldadura circunferencial · Máq. → 1</t>
  </si>
  <si>
    <t xml:space="preserve">R187</t>
  </si>
  <si>
    <t xml:space="preserve">m² en el piso: cuerpos soldados</t>
  </si>
  <si>
    <t xml:space="preserve">hoja Carros, celda J8</t>
  </si>
  <si>
    <t xml:space="preserve">Cuerpos soldados · m² → 3.07</t>
  </si>
  <si>
    <t xml:space="preserve">R188</t>
  </si>
  <si>
    <t xml:space="preserve">Máquinas del puesto 8 de carros</t>
  </si>
  <si>
    <t xml:space="preserve">hoja Carga, celda M82</t>
  </si>
  <si>
    <t xml:space="preserve">Puesto 8: Soldadura de accesorios · Máq. → 1</t>
  </si>
  <si>
    <t xml:space="preserve">R189</t>
  </si>
  <si>
    <t xml:space="preserve">m² en el piso: cilindros cerrados</t>
  </si>
  <si>
    <t xml:space="preserve">hoja Carros, celda J10</t>
  </si>
  <si>
    <t xml:space="preserve">Cilindros cerrados · m² → 0.25</t>
  </si>
  <si>
    <t xml:space="preserve">Máquinas del puesto 8.1 de carros</t>
  </si>
  <si>
    <t xml:space="preserve">hoja Carga, celda M83</t>
  </si>
  <si>
    <t xml:space="preserve">Puesto 8.1: Fabricación de accesorios · Máq. → 1</t>
  </si>
  <si>
    <t xml:space="preserve">R191</t>
  </si>
  <si>
    <t xml:space="preserve">m² en el piso: recipientes esperando la pintura</t>
  </si>
  <si>
    <t xml:space="preserve">hoja Carros, celda J11</t>
  </si>
  <si>
    <t xml:space="preserve">Recipientes esperando la pintura · m² → 17.71</t>
  </si>
  <si>
    <t xml:space="preserve">R192</t>
  </si>
  <si>
    <t xml:space="preserve">m² en el piso: carros pintados</t>
  </si>
  <si>
    <t xml:space="preserve">hoja Carros, celda J13</t>
  </si>
  <si>
    <t xml:space="preserve">Carros pintados · m² → 17.71</t>
  </si>
  <si>
    <t xml:space="preserve">R193</t>
  </si>
  <si>
    <t xml:space="preserve">Máquinas del puesto 13 B de carros</t>
  </si>
  <si>
    <t xml:space="preserve">hoja Carga, celda M88</t>
  </si>
  <si>
    <t xml:space="preserve">Puesto 13 B: Carga de polvo y presurización · Máq. → 1</t>
  </si>
  <si>
    <t xml:space="preserve">Máquinas del puesto 13 A-C / 15 de carros</t>
  </si>
  <si>
    <t xml:space="preserve">hoja Carga, celda M89</t>
  </si>
  <si>
    <t xml:space="preserve">Puesto 13 A-C / 15: Montaje, manga, precinto y etiquetado · Máq. → 1</t>
  </si>
  <si>
    <t xml:space="preserve">Máquinas del puesto 14-17 de carros</t>
  </si>
  <si>
    <t xml:space="preserve">hoja Carga, celda M90</t>
  </si>
  <si>
    <t xml:space="preserve">Puesto 14-17: Calidad: pérdidas, inspección final, liberación y ensayos de lote · Máq. → 1</t>
  </si>
  <si>
    <t xml:space="preserve">R196</t>
  </si>
  <si>
    <t xml:space="preserve">Turnos del puesto 4 de manuales</t>
  </si>
  <si>
    <t xml:space="preserve">hoja Carga, celda S37</t>
  </si>
  <si>
    <t xml:space="preserve">Puesto 4: Corte de disco y embutido (cúpula y fondo) · Turnos → 2</t>
  </si>
  <si>
    <t xml:space="preserve">R197</t>
  </si>
  <si>
    <t xml:space="preserve">Turnos del puesto 5 de manuales</t>
  </si>
  <si>
    <t xml:space="preserve">hoja Carga, celda S38</t>
  </si>
  <si>
    <t xml:space="preserve">Puesto 5: Preparación de cuello · Turnos → 2</t>
  </si>
  <si>
    <t xml:space="preserve">R198</t>
  </si>
  <si>
    <t xml:space="preserve">Turnos del puesto 7 de manuales</t>
  </si>
  <si>
    <t xml:space="preserve">hoja Carga, celda S40</t>
  </si>
  <si>
    <t xml:space="preserve">Puesto 7: Soldadura del cuello a la cúpula · Turnos → 2</t>
  </si>
  <si>
    <t xml:space="preserve">R199</t>
  </si>
  <si>
    <t xml:space="preserve">Turnos del puesto 8 de manuales</t>
  </si>
  <si>
    <t xml:space="preserve">hoja Carga, celda S41</t>
  </si>
  <si>
    <t xml:space="preserve">Puesto 8: Cilindrado · Turnos → 1</t>
  </si>
  <si>
    <t xml:space="preserve">R200</t>
  </si>
  <si>
    <t xml:space="preserve">Turnos del puesto 9 de manuales</t>
  </si>
  <si>
    <t xml:space="preserve">hoja Carga, celda S42</t>
  </si>
  <si>
    <t xml:space="preserve">Puesto 9: Soldadura longitudinal — 2,5 a 10 kg · Turnos → 2</t>
  </si>
  <si>
    <t xml:space="preserve">R201</t>
  </si>
  <si>
    <t xml:space="preserve">Turnos del puesto 10 de manuales</t>
  </si>
  <si>
    <t xml:space="preserve">hoja Carga, celda S43</t>
  </si>
  <si>
    <t xml:space="preserve">Puesto 10: Soldadura longitudinal TIG — 1 kg · Turnos → 2</t>
  </si>
  <si>
    <t xml:space="preserve">R202</t>
  </si>
  <si>
    <t xml:space="preserve">Turnos del puesto 11 de manuales</t>
  </si>
  <si>
    <t xml:space="preserve">hoja Carga, celda S44</t>
  </si>
  <si>
    <t xml:space="preserve">Puesto 11: Encastre de fondo · Turnos → 2</t>
  </si>
  <si>
    <t xml:space="preserve">R203</t>
  </si>
  <si>
    <t xml:space="preserve">Turnos del puesto 12 de manuales</t>
  </si>
  <si>
    <t xml:space="preserve">hoja Carga, celda S45</t>
  </si>
  <si>
    <t xml:space="preserve">Puesto 12: Bordoneado · Turnos → 2</t>
  </si>
  <si>
    <t xml:space="preserve">R204</t>
  </si>
  <si>
    <t xml:space="preserve">Turnos del puesto 13 de manuales</t>
  </si>
  <si>
    <t xml:space="preserve">hoja Carga, celda S46</t>
  </si>
  <si>
    <t xml:space="preserve">Puesto 13: Soldadura circunferencial de cúpula y fondo · Turnos → 2</t>
  </si>
  <si>
    <t xml:space="preserve">R205</t>
  </si>
  <si>
    <t xml:space="preserve">Turnos del puesto 14 de manuales</t>
  </si>
  <si>
    <t xml:space="preserve">hoja Carga, celda S47</t>
  </si>
  <si>
    <t xml:space="preserve">Puesto 14: Control de calidad — Espesor · Turnos → 1</t>
  </si>
  <si>
    <t xml:space="preserve">R206</t>
  </si>
  <si>
    <t xml:space="preserve">Turnos del puesto 17 de manuales</t>
  </si>
  <si>
    <t xml:space="preserve">hoja Carga, celda S50</t>
  </si>
  <si>
    <t xml:space="preserve">Puesto 17: Granallado · Turnos → 2</t>
  </si>
  <si>
    <t xml:space="preserve">R207</t>
  </si>
  <si>
    <t xml:space="preserve">Turnos del puesto 18 de manuales</t>
  </si>
  <si>
    <t xml:space="preserve">hoja Carga, celda S51</t>
  </si>
  <si>
    <t xml:space="preserve">Puesto 18: Detección de defectos · Turnos → 2</t>
  </si>
  <si>
    <t xml:space="preserve">R208</t>
  </si>
  <si>
    <t xml:space="preserve">Turnos del puesto 19 de manuales</t>
  </si>
  <si>
    <t xml:space="preserve">hoja Carga, celda S52</t>
  </si>
  <si>
    <t xml:space="preserve">Puesto 19: Corrección de defectos · Turnos → 1</t>
  </si>
  <si>
    <t xml:space="preserve">R209</t>
  </si>
  <si>
    <t xml:space="preserve">Máquinas del puesto 20 de manuales</t>
  </si>
  <si>
    <t xml:space="preserve">hoja Carga, celda R53</t>
  </si>
  <si>
    <t xml:space="preserve">Puesto 20: Pintura en polvo + horno · Máq. → 1</t>
  </si>
  <si>
    <t xml:space="preserve">R210</t>
  </si>
  <si>
    <t xml:space="preserve">Turnos del puesto 20 de manuales</t>
  </si>
  <si>
    <t xml:space="preserve">hoja Carga, celda S53</t>
  </si>
  <si>
    <t xml:space="preserve">Puesto 20: Pintura en polvo + horno · Turnos → 2</t>
  </si>
  <si>
    <t xml:space="preserve">R211</t>
  </si>
  <si>
    <t xml:space="preserve">Turnos del puesto 21 de manuales</t>
  </si>
  <si>
    <t xml:space="preserve">hoja Carga, celda S54</t>
  </si>
  <si>
    <t xml:space="preserve">Puesto 21: Carga de polvo · Turnos → 1</t>
  </si>
  <si>
    <t xml:space="preserve">R212</t>
  </si>
  <si>
    <t xml:space="preserve">Turnos del puesto 22 de manuales</t>
  </si>
  <si>
    <t xml:space="preserve">hoja Carga, celda S55</t>
  </si>
  <si>
    <t xml:space="preserve">Puesto 22: Ensamblaje · Turnos → 2</t>
  </si>
  <si>
    <t xml:space="preserve">R213</t>
  </si>
  <si>
    <t xml:space="preserve">Turnos del puesto 23 de manuales</t>
  </si>
  <si>
    <t xml:space="preserve">hoja Carga, celda S56</t>
  </si>
  <si>
    <t xml:space="preserve">Puesto 23: Presurización · Turnos → 1</t>
  </si>
  <si>
    <t xml:space="preserve">R214</t>
  </si>
  <si>
    <t xml:space="preserve">Turnos del puesto 24 de manuales</t>
  </si>
  <si>
    <t xml:space="preserve">hoja Carga, celda S57</t>
  </si>
  <si>
    <t xml:space="preserve">Puesto 24: Control de calidad — Ensayo de pérdidas · Turnos → 1</t>
  </si>
  <si>
    <t xml:space="preserve">R215</t>
  </si>
  <si>
    <t xml:space="preserve">Turnos del puesto 25 de manuales</t>
  </si>
  <si>
    <t xml:space="preserve">hoja Carga, celda S58</t>
  </si>
  <si>
    <t xml:space="preserve">Puesto 25: Etiquetado · Turnos → 1</t>
  </si>
  <si>
    <t xml:space="preserve">R216</t>
  </si>
  <si>
    <t xml:space="preserve">Turnos del puesto 26 de manuales</t>
  </si>
  <si>
    <t xml:space="preserve">hoja Carga, celda S59</t>
  </si>
  <si>
    <t xml:space="preserve">Puesto 26: Embalaje y paletizado · Turnos → 2</t>
  </si>
  <si>
    <t xml:space="preserve">R217</t>
  </si>
  <si>
    <t xml:space="preserve">Turnos del puesto 3 de carros</t>
  </si>
  <si>
    <t xml:space="preserve">hoja Carga, celda N77</t>
  </si>
  <si>
    <t xml:space="preserve">Puesto 3: Cilindrado · Turnos → 1</t>
  </si>
  <si>
    <t xml:space="preserve">R218</t>
  </si>
  <si>
    <t xml:space="preserve">Turnos del puesto 4 de carros</t>
  </si>
  <si>
    <t xml:space="preserve">hoja Carga, celda N78</t>
  </si>
  <si>
    <t xml:space="preserve">Puesto 4: Punteo del cuerpo · Turnos → 1</t>
  </si>
  <si>
    <t xml:space="preserve">R219</t>
  </si>
  <si>
    <t xml:space="preserve">Turnos del puesto 5 de carros</t>
  </si>
  <si>
    <t xml:space="preserve">hoja Carga, celda N79</t>
  </si>
  <si>
    <t xml:space="preserve">Puesto 5: Soldadura longitudinal · Turnos → 1</t>
  </si>
  <si>
    <t xml:space="preserve">R220</t>
  </si>
  <si>
    <t xml:space="preserve">Turnos del puesto 6 de carros</t>
  </si>
  <si>
    <t xml:space="preserve">hoja Carga, celda N80</t>
  </si>
  <si>
    <t xml:space="preserve">Puesto 6: Soldadura de cupla en la cúpula · Turnos → 1</t>
  </si>
  <si>
    <t xml:space="preserve">R221</t>
  </si>
  <si>
    <t xml:space="preserve">Turnos del puesto 7 de carros</t>
  </si>
  <si>
    <t xml:space="preserve">hoja Carga, celda N81</t>
  </si>
  <si>
    <t xml:space="preserve">Puesto 7: Armado y soldadura circunferencial · Turnos → 1</t>
  </si>
  <si>
    <t xml:space="preserve">R222</t>
  </si>
  <si>
    <t xml:space="preserve">Turnos del puesto 8 de carros</t>
  </si>
  <si>
    <t xml:space="preserve">hoja Carga, celda N82</t>
  </si>
  <si>
    <t xml:space="preserve">Puesto 8: Soldadura de accesorios · Turnos → 1</t>
  </si>
  <si>
    <t xml:space="preserve">R223</t>
  </si>
  <si>
    <t xml:space="preserve">Turnos del puesto 8.1 de carros</t>
  </si>
  <si>
    <t xml:space="preserve">hoja Carga, celda N83</t>
  </si>
  <si>
    <t xml:space="preserve">Puesto 8.1: Fabricación de accesorios · Turnos → 1</t>
  </si>
  <si>
    <t xml:space="preserve">R224</t>
  </si>
  <si>
    <t xml:space="preserve">Máquinas del puesto 11 de carros</t>
  </si>
  <si>
    <t xml:space="preserve">hoja Carga, celda M86</t>
  </si>
  <si>
    <t xml:space="preserve">Puesto 11: Pulmón de despacho y carga a pintura · Máq. → 1</t>
  </si>
  <si>
    <t xml:space="preserve">R225</t>
  </si>
  <si>
    <t xml:space="preserve">Turnos del puesto 11 de carros</t>
  </si>
  <si>
    <t xml:space="preserve">hoja Carga, celda N86</t>
  </si>
  <si>
    <t xml:space="preserve">Puesto 11: Pulmón de despacho y carga a pintura · Turnos → 1</t>
  </si>
  <si>
    <t xml:space="preserve">R226</t>
  </si>
  <si>
    <t xml:space="preserve">Máquinas del puesto 12 de carros</t>
  </si>
  <si>
    <t xml:space="preserve">hoja Carga, celda M87</t>
  </si>
  <si>
    <t xml:space="preserve">Puesto 12: Recepción de pintados y cambio de juego · Máq. → 1</t>
  </si>
  <si>
    <t xml:space="preserve">R227</t>
  </si>
  <si>
    <t xml:space="preserve">Turnos del puesto 12 de carros</t>
  </si>
  <si>
    <t xml:space="preserve">hoja Carga, celda N87</t>
  </si>
  <si>
    <t xml:space="preserve">Puesto 12: Recepción de pintados y cambio de juego · Turnos → 1</t>
  </si>
  <si>
    <t xml:space="preserve">R228</t>
  </si>
  <si>
    <t xml:space="preserve">Turnos del puesto 13 B de carros</t>
  </si>
  <si>
    <t xml:space="preserve">hoja Carga, celda N88</t>
  </si>
  <si>
    <t xml:space="preserve">Puesto 13 B: Carga de polvo y presurización · Turnos → 1</t>
  </si>
  <si>
    <t xml:space="preserve">R229</t>
  </si>
  <si>
    <t xml:space="preserve">Turnos del puesto 13 A-C / 15 de carros</t>
  </si>
  <si>
    <t xml:space="preserve">hoja Carga, celda N89</t>
  </si>
  <si>
    <t xml:space="preserve">Puesto 13 A-C / 15: Montaje, manga, precinto y etiquetado · Turnos → 1</t>
  </si>
  <si>
    <t xml:space="preserve">R230</t>
  </si>
  <si>
    <t xml:space="preserve">Turnos del puesto 14-17 de carros</t>
  </si>
  <si>
    <t xml:space="preserve">hoja Carga, celda N90</t>
  </si>
  <si>
    <t xml:space="preserve">Puesto 14-17: Calidad: pérdidas, inspección final, liberación y ensayos de lote · Turnos → 1</t>
  </si>
  <si>
    <t xml:space="preserve">R231</t>
  </si>
  <si>
    <t xml:space="preserve">Turnos del puesto 2 de manuales</t>
  </si>
  <si>
    <t xml:space="preserve">hoja Carga, celda S35</t>
  </si>
  <si>
    <t xml:space="preserve">Puesto 2: Corte de chapa — 1.er corte en franjas (guillotina 1, manuales + carros) · Turnos → 1</t>
  </si>
  <si>
    <t xml:space="preserve">R232</t>
  </si>
  <si>
    <t xml:space="preserve">Máquinas del puesto 2 de carros</t>
  </si>
  <si>
    <t xml:space="preserve">hoja Carga, celda M75</t>
  </si>
  <si>
    <t xml:space="preserve">Puesto 2: Corte de chapa (guillotina) · Máq. → 1</t>
  </si>
  <si>
    <t xml:space="preserve">R233</t>
  </si>
  <si>
    <t xml:space="preserve">Turnos del puesto 2 de carros</t>
  </si>
  <si>
    <t xml:space="preserve">hoja Carga, celda N75</t>
  </si>
  <si>
    <t xml:space="preserve">Puesto 2: Corte de chapa (guillotina) · Turnos → 1</t>
  </si>
  <si>
    <t xml:space="preserve">R234</t>
  </si>
  <si>
    <t xml:space="preserve">Turnos del puesto 3 de manuales</t>
  </si>
  <si>
    <t xml:space="preserve">hoja Carga, celda S36</t>
  </si>
  <si>
    <t xml:space="preserve">Puesto 3: Corte de chapa — 2.º corte en piezas (guillotina 2, manuales + carros) · Turnos → 1</t>
  </si>
  <si>
    <t xml:space="preserve">R235</t>
  </si>
  <si>
    <t xml:space="preserve">Turnos del puesto 6 de manuales</t>
  </si>
  <si>
    <t xml:space="preserve">hoja Carga, celda S39</t>
  </si>
  <si>
    <t xml:space="preserve">Puesto 6: Marcado del cuerpo (manuales + carros) · Turnos → 1</t>
  </si>
  <si>
    <t xml:space="preserve">R236</t>
  </si>
  <si>
    <t xml:space="preserve">Máquinas del puesto 2.1 de carros</t>
  </si>
  <si>
    <t xml:space="preserve">hoja Carga, celda M76</t>
  </si>
  <si>
    <t xml:space="preserve">Puesto 2.1: Marcado del cuerpo · Máq. → 0</t>
  </si>
  <si>
    <t xml:space="preserve">R237</t>
  </si>
  <si>
    <t xml:space="preserve">Turnos del puesto 2.1 de carros</t>
  </si>
  <si>
    <t xml:space="preserve">hoja Carga, celda N76</t>
  </si>
  <si>
    <t xml:space="preserve">Puesto 2.1: Marcado del cuerpo · Turnos → 1</t>
  </si>
  <si>
    <t xml:space="preserve">R238</t>
  </si>
  <si>
    <t xml:space="preserve">Turnos del puesto 15 de manuales</t>
  </si>
  <si>
    <t xml:space="preserve">hoja Carga, celda S48</t>
  </si>
  <si>
    <t xml:space="preserve">Puesto 15: Prueba hidráulica · Turnos → 2</t>
  </si>
  <si>
    <t xml:space="preserve">R239</t>
  </si>
  <si>
    <t xml:space="preserve">Turnos del puesto 9 de carros</t>
  </si>
  <si>
    <t xml:space="preserve">hoja Carga, celda N84</t>
  </si>
  <si>
    <t xml:space="preserve">Puesto 9: Prueba hidráulica · Turnos → 1</t>
  </si>
  <si>
    <t xml:space="preserve">R240</t>
  </si>
  <si>
    <t xml:space="preserve">Turnos del puesto 16 de manuales</t>
  </si>
  <si>
    <t xml:space="preserve">hoja Carga, celda S49</t>
  </si>
  <si>
    <t xml:space="preserve">Puesto 16: Secado · Turnos → 2</t>
  </si>
  <si>
    <t xml:space="preserve">R241</t>
  </si>
  <si>
    <t xml:space="preserve">Turnos del puesto 10 de carros</t>
  </si>
  <si>
    <t xml:space="preserve">hoja Carga, celda N85</t>
  </si>
  <si>
    <t xml:space="preserve">Puesto 10: Secado · Turnos → 1</t>
  </si>
  <si>
    <t xml:space="preserve">Máquinas del puesto R1</t>
  </si>
  <si>
    <t xml:space="preserve">hoja Carga, celda F104</t>
  </si>
  <si>
    <t xml:space="preserve">R1: Recepción y registro · Máq. → 2</t>
  </si>
  <si>
    <t xml:space="preserve">R243</t>
  </si>
  <si>
    <t xml:space="preserve">Turnos del puesto R1</t>
  </si>
  <si>
    <t xml:space="preserve">hoja Carga, celda G104</t>
  </si>
  <si>
    <t xml:space="preserve">R1: Recepción y registro · Turnos → 1</t>
  </si>
  <si>
    <t xml:space="preserve">R244</t>
  </si>
  <si>
    <t xml:space="preserve">Jaulas en el puesto R1</t>
  </si>
  <si>
    <t xml:space="preserve">hoja Carga, celda M104</t>
  </si>
  <si>
    <t xml:space="preserve">R1: Recepción y registro · Jaulas → 2</t>
  </si>
  <si>
    <t xml:space="preserve">Máquinas del puesto R2</t>
  </si>
  <si>
    <t xml:space="preserve">hoja Carga, celda F105</t>
  </si>
  <si>
    <t xml:space="preserve">R2: Inspección visual · Máq. → 2</t>
  </si>
  <si>
    <t xml:space="preserve">R246</t>
  </si>
  <si>
    <t xml:space="preserve">Turnos del puesto R2</t>
  </si>
  <si>
    <t xml:space="preserve">hoja Carga, celda G105</t>
  </si>
  <si>
    <t xml:space="preserve">R2: Inspección visual · Turnos → 2</t>
  </si>
  <si>
    <t xml:space="preserve">R247</t>
  </si>
  <si>
    <t xml:space="preserve">Jaulas en el puesto R2</t>
  </si>
  <si>
    <t xml:space="preserve">hoja Carga, celda M105</t>
  </si>
  <si>
    <t xml:space="preserve">R2: Inspección visual · Jaulas → 1</t>
  </si>
  <si>
    <t xml:space="preserve">R248</t>
  </si>
  <si>
    <t xml:space="preserve">Máquinas del puesto R3</t>
  </si>
  <si>
    <t xml:space="preserve">hoja Carga, celda F106</t>
  </si>
  <si>
    <t xml:space="preserve">R3: Descarga ABC — ruta recuperable · Máq. → 1</t>
  </si>
  <si>
    <t xml:space="preserve">R249</t>
  </si>
  <si>
    <t xml:space="preserve">Turnos del puesto R3</t>
  </si>
  <si>
    <t xml:space="preserve">hoja Carga, celda G106</t>
  </si>
  <si>
    <t xml:space="preserve">R3: Descarga ABC — ruta recuperable · Turnos → 2</t>
  </si>
  <si>
    <t xml:space="preserve">R250</t>
  </si>
  <si>
    <t xml:space="preserve">Jaulas en el puesto R3</t>
  </si>
  <si>
    <t xml:space="preserve">hoja Carga, celda M106</t>
  </si>
  <si>
    <t xml:space="preserve">R3: Descarga ABC — ruta recuperable · Jaulas → 1</t>
  </si>
  <si>
    <t xml:space="preserve">Máquinas del puesto R4</t>
  </si>
  <si>
    <t xml:space="preserve">hoja Carga, celda F107</t>
  </si>
  <si>
    <t xml:space="preserve">R4: Descarga a descarte (ABC, BC y Clase D) · Máq. → 1</t>
  </si>
  <si>
    <t xml:space="preserve">R252</t>
  </si>
  <si>
    <t xml:space="preserve">Turnos del puesto R4</t>
  </si>
  <si>
    <t xml:space="preserve">hoja Carga, celda G107</t>
  </si>
  <si>
    <t xml:space="preserve">R4: Descarga a descarte (ABC, BC y Clase D) · Turnos → 1</t>
  </si>
  <si>
    <t xml:space="preserve">R253</t>
  </si>
  <si>
    <t xml:space="preserve">Jaulas en el puesto R4</t>
  </si>
  <si>
    <t xml:space="preserve">hoja Carga, celda M107</t>
  </si>
  <si>
    <t xml:space="preserve">R4: Descarga a descarte (ABC, BC y Clase D) · Jaulas → 1</t>
  </si>
  <si>
    <t xml:space="preserve">R254</t>
  </si>
  <si>
    <t xml:space="preserve">Máquinas del puesto R5</t>
  </si>
  <si>
    <t xml:space="preserve">hoja Carga, celda F108</t>
  </si>
  <si>
    <t xml:space="preserve">R5: Descarga y carga de agua / AFFF / sales K · Máq. → 1</t>
  </si>
  <si>
    <t xml:space="preserve">R255</t>
  </si>
  <si>
    <t xml:space="preserve">Turnos del puesto R5</t>
  </si>
  <si>
    <t xml:space="preserve">hoja Carga, celda G108</t>
  </si>
  <si>
    <t xml:space="preserve">R5: Descarga y carga de agua / AFFF / sales K · Turnos → 1</t>
  </si>
  <si>
    <t xml:space="preserve">R256</t>
  </si>
  <si>
    <t xml:space="preserve">Jaulas en el puesto R5</t>
  </si>
  <si>
    <t xml:space="preserve">hoja Carga, celda M108</t>
  </si>
  <si>
    <t xml:space="preserve">R5: Descarga y carga de agua / AFFF / sales K · Jaulas → 1</t>
  </si>
  <si>
    <t xml:space="preserve">R257</t>
  </si>
  <si>
    <t xml:space="preserve">Máquinas del puesto R6</t>
  </si>
  <si>
    <t xml:space="preserve">hoja Carga, celda F109</t>
  </si>
  <si>
    <t xml:space="preserve">R6: Recuperación y carga de CO₂ · Máq. → 1</t>
  </si>
  <si>
    <t xml:space="preserve">R258</t>
  </si>
  <si>
    <t xml:space="preserve">Turnos del puesto R6</t>
  </si>
  <si>
    <t xml:space="preserve">hoja Carga, celda G109</t>
  </si>
  <si>
    <t xml:space="preserve">R6: Recuperación y carga de CO₂ · Turnos → 1</t>
  </si>
  <si>
    <t xml:space="preserve">R259</t>
  </si>
  <si>
    <t xml:space="preserve">Jaulas en el puesto R6</t>
  </si>
  <si>
    <t xml:space="preserve">hoja Carga, celda M109</t>
  </si>
  <si>
    <t xml:space="preserve">R6: Recuperación y carga de CO₂ · Jaulas → 1</t>
  </si>
  <si>
    <t xml:space="preserve">Máquinas del puesto R7</t>
  </si>
  <si>
    <t xml:space="preserve">hoja Carga, celda F110</t>
  </si>
  <si>
    <t xml:space="preserve">R7: Recuperación y carga de halogenado · Máq. → 1</t>
  </si>
  <si>
    <t xml:space="preserve">R261</t>
  </si>
  <si>
    <t xml:space="preserve">Turnos del puesto R7</t>
  </si>
  <si>
    <t xml:space="preserve">hoja Carga, celda G110</t>
  </si>
  <si>
    <t xml:space="preserve">R7: Recuperación y carga de halogenado · Turnos → 1</t>
  </si>
  <si>
    <t xml:space="preserve">R262</t>
  </si>
  <si>
    <t xml:space="preserve">Jaulas en el puesto R7</t>
  </si>
  <si>
    <t xml:space="preserve">hoja Carga, celda M110</t>
  </si>
  <si>
    <t xml:space="preserve">R7: Recuperación y carga de halogenado · Jaulas → 1</t>
  </si>
  <si>
    <t xml:space="preserve">Máquinas del puesto R8</t>
  </si>
  <si>
    <t xml:space="preserve">hoja Carga, celda F111</t>
  </si>
  <si>
    <t xml:space="preserve">R8: Desarme y limpieza — recinto · Máq. → 2</t>
  </si>
  <si>
    <t xml:space="preserve">R264</t>
  </si>
  <si>
    <t xml:space="preserve">Turnos del puesto R8</t>
  </si>
  <si>
    <t xml:space="preserve">hoja Carga, celda G111</t>
  </si>
  <si>
    <t xml:space="preserve">R8: Desarme y limpieza — recinto · Turnos → 2</t>
  </si>
  <si>
    <t xml:space="preserve">R265</t>
  </si>
  <si>
    <t xml:space="preserve">Jaulas en el puesto R8</t>
  </si>
  <si>
    <t xml:space="preserve">hoja Carga, celda M111</t>
  </si>
  <si>
    <t xml:space="preserve">R8: Desarme y limpieza — recinto · Jaulas → 1</t>
  </si>
  <si>
    <t xml:space="preserve">Máquinas del puesto R9</t>
  </si>
  <si>
    <t xml:space="preserve">hoja Carga, celda F112</t>
  </si>
  <si>
    <t xml:space="preserve">R9: Desarme e inspección interior — zona general · Máq. → 1</t>
  </si>
  <si>
    <t xml:space="preserve">R267</t>
  </si>
  <si>
    <t xml:space="preserve">Turnos del puesto R9</t>
  </si>
  <si>
    <t xml:space="preserve">hoja Carga, celda G112</t>
  </si>
  <si>
    <t xml:space="preserve">R9: Desarme e inspección interior — zona general · Turnos → 1</t>
  </si>
  <si>
    <t xml:space="preserve">R268</t>
  </si>
  <si>
    <t xml:space="preserve">Jaulas en el puesto R9</t>
  </si>
  <si>
    <t xml:space="preserve">hoja Carga, celda M112</t>
  </si>
  <si>
    <t xml:space="preserve">R9: Desarme e inspección interior — zona general · Jaulas → 1</t>
  </si>
  <si>
    <t xml:space="preserve">Máquinas del puesto R10</t>
  </si>
  <si>
    <t xml:space="preserve">hoja Carga, celda F113</t>
  </si>
  <si>
    <t xml:space="preserve">R10: Laboratorio — Puffer y mufla · Máq. → 1</t>
  </si>
  <si>
    <t xml:space="preserve">R270</t>
  </si>
  <si>
    <t xml:space="preserve">Turnos del puesto R10</t>
  </si>
  <si>
    <t xml:space="preserve">hoja Carga, celda G113</t>
  </si>
  <si>
    <t xml:space="preserve">R10: Laboratorio — Puffer y mufla · Turnos → 1</t>
  </si>
  <si>
    <t xml:space="preserve">R271</t>
  </si>
  <si>
    <t xml:space="preserve">Jaulas en el puesto R10</t>
  </si>
  <si>
    <t xml:space="preserve">hoja Carga, celda M113</t>
  </si>
  <si>
    <t xml:space="preserve">R10: Laboratorio — Puffer y mufla · Jaulas → 1</t>
  </si>
  <si>
    <t xml:space="preserve">R272</t>
  </si>
  <si>
    <t xml:space="preserve">Máquinas del puesto R11</t>
  </si>
  <si>
    <t xml:space="preserve">hoja Carga, celda F114</t>
  </si>
  <si>
    <t xml:space="preserve">R11: Prueba hidráulica · Máq. → 1</t>
  </si>
  <si>
    <t xml:space="preserve">R273</t>
  </si>
  <si>
    <t xml:space="preserve">Turnos del puesto R11</t>
  </si>
  <si>
    <t xml:space="preserve">hoja Carga, celda G114</t>
  </si>
  <si>
    <t xml:space="preserve">R11: Prueba hidráulica · Turnos → 2</t>
  </si>
  <si>
    <t xml:space="preserve">R274</t>
  </si>
  <si>
    <t xml:space="preserve">Jaulas en el puesto R11</t>
  </si>
  <si>
    <t xml:space="preserve">hoja Carga, celda M114</t>
  </si>
  <si>
    <t xml:space="preserve">R11: Prueba hidráulica · Jaulas → 1</t>
  </si>
  <si>
    <t xml:space="preserve">R275</t>
  </si>
  <si>
    <t xml:space="preserve">Máquinas del puesto R12</t>
  </si>
  <si>
    <t xml:space="preserve">hoja Carga, celda F115</t>
  </si>
  <si>
    <t xml:space="preserve">R12: Secado · Máq. → 1</t>
  </si>
  <si>
    <t xml:space="preserve">R276</t>
  </si>
  <si>
    <t xml:space="preserve">Turnos del puesto R12</t>
  </si>
  <si>
    <t xml:space="preserve">hoja Carga, celda G115</t>
  </si>
  <si>
    <t xml:space="preserve">R12: Secado · Turnos → 2</t>
  </si>
  <si>
    <t xml:space="preserve">R277</t>
  </si>
  <si>
    <t xml:space="preserve">Jaulas en el puesto R12</t>
  </si>
  <si>
    <t xml:space="preserve">hoja Carga, celda M115</t>
  </si>
  <si>
    <t xml:space="preserve">R12: Secado · Jaulas → 1</t>
  </si>
  <si>
    <t xml:space="preserve">Máquinas del puesto R13</t>
  </si>
  <si>
    <t xml:space="preserve">hoja Carga, celda F116</t>
  </si>
  <si>
    <t xml:space="preserve">R13: Inspección interior con videoscopio · Máq. → 1</t>
  </si>
  <si>
    <t xml:space="preserve">R279</t>
  </si>
  <si>
    <t xml:space="preserve">Turnos del puesto R13</t>
  </si>
  <si>
    <t xml:space="preserve">hoja Carga, celda G116</t>
  </si>
  <si>
    <t xml:space="preserve">R13: Inspección interior con videoscopio · Turnos → 1</t>
  </si>
  <si>
    <t xml:space="preserve">R280</t>
  </si>
  <si>
    <t xml:space="preserve">Jaulas en el puesto R13</t>
  </si>
  <si>
    <t xml:space="preserve">hoja Carga, celda M116</t>
  </si>
  <si>
    <t xml:space="preserve">R13: Inspección interior con videoscopio · Jaulas → 1</t>
  </si>
  <si>
    <t xml:space="preserve">Máquinas del puesto R14</t>
  </si>
  <si>
    <t xml:space="preserve">hoja Carga, celda F117</t>
  </si>
  <si>
    <t xml:space="preserve">R14: Pintura · Máq. → 2</t>
  </si>
  <si>
    <t xml:space="preserve">R282</t>
  </si>
  <si>
    <t xml:space="preserve">Turnos del puesto R14</t>
  </si>
  <si>
    <t xml:space="preserve">hoja Carga, celda G117</t>
  </si>
  <si>
    <t xml:space="preserve">R14: Pintura · Turnos → 2</t>
  </si>
  <si>
    <t xml:space="preserve">R283</t>
  </si>
  <si>
    <t xml:space="preserve">Jaulas en el puesto R14</t>
  </si>
  <si>
    <t xml:space="preserve">hoja Carga, celda M117</t>
  </si>
  <si>
    <t xml:space="preserve">R14: Pintura · Jaulas → 1</t>
  </si>
  <si>
    <t xml:space="preserve">R284</t>
  </si>
  <si>
    <t xml:space="preserve">Máquinas del puesto R15</t>
  </si>
  <si>
    <t xml:space="preserve">hoja Carga, celda F118</t>
  </si>
  <si>
    <t xml:space="preserve">R15: Carga de polvo ABC, BC y Clase D · Máq. → 2</t>
  </si>
  <si>
    <t xml:space="preserve">R285</t>
  </si>
  <si>
    <t xml:space="preserve">Turnos del puesto R15</t>
  </si>
  <si>
    <t xml:space="preserve">hoja Carga, celda G118</t>
  </si>
  <si>
    <t xml:space="preserve">R15: Carga de polvo ABC, BC y Clase D · Turnos → 2</t>
  </si>
  <si>
    <t xml:space="preserve">R286</t>
  </si>
  <si>
    <t xml:space="preserve">Jaulas en el puesto R15</t>
  </si>
  <si>
    <t xml:space="preserve">hoja Carga, celda M118</t>
  </si>
  <si>
    <t xml:space="preserve">R15: Carga de polvo ABC, BC y Clase D · Jaulas → 1</t>
  </si>
  <si>
    <t xml:space="preserve">R287</t>
  </si>
  <si>
    <t xml:space="preserve">Máquinas del puesto R16</t>
  </si>
  <si>
    <t xml:space="preserve">hoja Carga, celda F119</t>
  </si>
  <si>
    <t xml:space="preserve">R16: Ensamblaje y marbete — recinto · Máq. → 2</t>
  </si>
  <si>
    <t xml:space="preserve">R288</t>
  </si>
  <si>
    <t xml:space="preserve">Turnos del puesto R16</t>
  </si>
  <si>
    <t xml:space="preserve">hoja Carga, celda G119</t>
  </si>
  <si>
    <t xml:space="preserve">R16: Ensamblaje y marbete — recinto · Turnos → 2</t>
  </si>
  <si>
    <t xml:space="preserve">R289</t>
  </si>
  <si>
    <t xml:space="preserve">Jaulas en el puesto R16</t>
  </si>
  <si>
    <t xml:space="preserve">hoja Carga, celda M119</t>
  </si>
  <si>
    <t xml:space="preserve">R16: Ensamblaje y marbete — recinto · Jaulas → 1</t>
  </si>
  <si>
    <t xml:space="preserve">R290</t>
  </si>
  <si>
    <t xml:space="preserve">Máquinas del puesto R17</t>
  </si>
  <si>
    <t xml:space="preserve">hoja Carga, celda F120</t>
  </si>
  <si>
    <t xml:space="preserve">R17: Presurización — recinto · Máq. → 1</t>
  </si>
  <si>
    <t xml:space="preserve">R291</t>
  </si>
  <si>
    <t xml:space="preserve">Turnos del puesto R17</t>
  </si>
  <si>
    <t xml:space="preserve">hoja Carga, celda G120</t>
  </si>
  <si>
    <t xml:space="preserve">R17: Presurización — recinto · Turnos → 2</t>
  </si>
  <si>
    <t xml:space="preserve">R292</t>
  </si>
  <si>
    <t xml:space="preserve">Jaulas en el puesto R17</t>
  </si>
  <si>
    <t xml:space="preserve">hoja Carga, celda M120</t>
  </si>
  <si>
    <t xml:space="preserve">R17: Presurización — recinto · Jaulas → 1</t>
  </si>
  <si>
    <t xml:space="preserve">Máquinas del puesto R18</t>
  </si>
  <si>
    <t xml:space="preserve">hoja Carga, celda F121</t>
  </si>
  <si>
    <t xml:space="preserve">R18: Ensamblaje y presurización — zona general · Máq. → 1</t>
  </si>
  <si>
    <t xml:space="preserve">R294</t>
  </si>
  <si>
    <t xml:space="preserve">Turnos del puesto R18</t>
  </si>
  <si>
    <t xml:space="preserve">hoja Carga, celda G121</t>
  </si>
  <si>
    <t xml:space="preserve">R18: Ensamblaje y presurización — zona general · Turnos → 1</t>
  </si>
  <si>
    <t xml:space="preserve">R295</t>
  </si>
  <si>
    <t xml:space="preserve">Jaulas en el puesto R18</t>
  </si>
  <si>
    <t xml:space="preserve">hoja Carga, celda M121</t>
  </si>
  <si>
    <t xml:space="preserve">R18: Ensamblaje y presurización — zona general · Jaulas → 1</t>
  </si>
  <si>
    <t xml:space="preserve">Máquinas del puesto R19</t>
  </si>
  <si>
    <t xml:space="preserve">hoja Carga, celda F122</t>
  </si>
  <si>
    <t xml:space="preserve">R19: Control de peso (CO₂ y halogenados sin recarga) · Máq. → 1</t>
  </si>
  <si>
    <t xml:space="preserve">R297</t>
  </si>
  <si>
    <t xml:space="preserve">Turnos del puesto R19</t>
  </si>
  <si>
    <t xml:space="preserve">hoja Carga, celda G122</t>
  </si>
  <si>
    <t xml:space="preserve">R19: Control de peso (CO₂ y halogenados sin recarga) · Turnos → 1</t>
  </si>
  <si>
    <t xml:space="preserve">R298</t>
  </si>
  <si>
    <t xml:space="preserve">Jaulas en el puesto R19</t>
  </si>
  <si>
    <t xml:space="preserve">hoja Carga, celda M122</t>
  </si>
  <si>
    <t xml:space="preserve">R19: Control de peso (CO₂ y halogenados sin recarga) · Jaulas → 1</t>
  </si>
  <si>
    <t xml:space="preserve">R299</t>
  </si>
  <si>
    <t xml:space="preserve">Máquinas del puesto R20</t>
  </si>
  <si>
    <t xml:space="preserve">hoja Carga, celda F123</t>
  </si>
  <si>
    <t xml:space="preserve">R20: Ensayo de pérdidas · Máq. → 2</t>
  </si>
  <si>
    <t xml:space="preserve">R300</t>
  </si>
  <si>
    <t xml:space="preserve">Turnos del puesto R20</t>
  </si>
  <si>
    <t xml:space="preserve">hoja Carga, celda G123</t>
  </si>
  <si>
    <t xml:space="preserve">R20: Ensayo de pérdidas · Turnos → 1</t>
  </si>
  <si>
    <t xml:space="preserve">R301</t>
  </si>
  <si>
    <t xml:space="preserve">Jaulas en el puesto R20</t>
  </si>
  <si>
    <t xml:space="preserve">hoja Carga, celda M123</t>
  </si>
  <si>
    <t xml:space="preserve">R20: Ensayo de pérdidas · Jaulas → 2</t>
  </si>
  <si>
    <t xml:space="preserve">Máquinas del puesto R21</t>
  </si>
  <si>
    <t xml:space="preserve">hoja Carga, celda F124</t>
  </si>
  <si>
    <t xml:space="preserve">R21: Precinto, etiqueta y despacho · Máq. → 2</t>
  </si>
  <si>
    <t xml:space="preserve">R303</t>
  </si>
  <si>
    <t xml:space="preserve">Turnos del puesto R21</t>
  </si>
  <si>
    <t xml:space="preserve">hoja Carga, celda G124</t>
  </si>
  <si>
    <t xml:space="preserve">R21: Precinto, etiqueta y despacho · Turnos → 2</t>
  </si>
  <si>
    <t xml:space="preserve">R304</t>
  </si>
  <si>
    <t xml:space="preserve">Jaulas en el puesto R21</t>
  </si>
  <si>
    <t xml:space="preserve">hoja Carga, celda M124</t>
  </si>
  <si>
    <t xml:space="preserve">R21: Precinto, etiqueta y despacho · Jaulas → 1</t>
  </si>
  <si>
    <t xml:space="preserve">Máquinas del puesto R22</t>
  </si>
  <si>
    <t xml:space="preserve">hoja Carga, celda F125</t>
  </si>
  <si>
    <t xml:space="preserve">R22: Inutilización y disposición final · Máq. → 1</t>
  </si>
  <si>
    <t xml:space="preserve">R306</t>
  </si>
  <si>
    <t xml:space="preserve">Turnos del puesto R22</t>
  </si>
  <si>
    <t xml:space="preserve">hoja Carga, celda G125</t>
  </si>
  <si>
    <t xml:space="preserve">R22: Inutilización y disposición final · Turnos → 1</t>
  </si>
  <si>
    <t xml:space="preserve">R307</t>
  </si>
  <si>
    <t xml:space="preserve">Jaulas en el puesto R22</t>
  </si>
  <si>
    <t xml:space="preserve">hoja Carga, celda M125</t>
  </si>
  <si>
    <t xml:space="preserve">R22: Inutilización y disposición final · Jaulas → 1</t>
  </si>
  <si>
    <t xml:space="preserve">Máquinas del puesto R23</t>
  </si>
  <si>
    <t xml:space="preserve">hoja Carga, celda F126</t>
  </si>
  <si>
    <t xml:space="preserve">R23: PH de mangueras (CO₂ y rodantes) · Máq. → 1</t>
  </si>
  <si>
    <t xml:space="preserve">R309</t>
  </si>
  <si>
    <t xml:space="preserve">Turnos del puesto R23</t>
  </si>
  <si>
    <t xml:space="preserve">hoja Carga, celda G126</t>
  </si>
  <si>
    <t xml:space="preserve">R23: PH de mangueras (CO₂ y rodantes) · Turnos → 1</t>
  </si>
  <si>
    <t xml:space="preserve">R310</t>
  </si>
  <si>
    <t xml:space="preserve">Jaulas en el puesto R23</t>
  </si>
  <si>
    <t xml:space="preserve">hoja Carga, celda M126</t>
  </si>
  <si>
    <t xml:space="preserve">R23: PH de mangueras (CO₂ y rodantes) · Jaulas → 1</t>
  </si>
  <si>
    <t xml:space="preserve">R311</t>
  </si>
  <si>
    <t xml:space="preserve">Jaulas del pulmón de recepción</t>
  </si>
  <si>
    <t xml:space="preserve">hoja Carga, celda M128</t>
  </si>
  <si>
    <t xml:space="preserve">Pulmón de recepción · Jaulas → 10</t>
  </si>
  <si>
    <t xml:space="preserve">R312</t>
  </si>
  <si>
    <t xml:space="preserve">Equipos del pulmón de recepción</t>
  </si>
  <si>
    <t xml:space="preserve">hoja Carga, celda L128</t>
  </si>
  <si>
    <t xml:space="preserve">Pulmón de recepción · Equipos → 270.55</t>
  </si>
  <si>
    <t xml:space="preserve">R313</t>
  </si>
  <si>
    <t xml:space="preserve">Jaulas del pulmón de despacho</t>
  </si>
  <si>
    <t xml:space="preserve">hoja Carga, celda M129</t>
  </si>
  <si>
    <t xml:space="preserve">Pulmón de despacho · Jaulas → 10</t>
  </si>
  <si>
    <t xml:space="preserve">R314</t>
  </si>
  <si>
    <t xml:space="preserve">Equipos del pulmón de despacho</t>
  </si>
  <si>
    <t xml:space="preserve">hoja Carga, celda L129</t>
  </si>
  <si>
    <t xml:space="preserve">Pulmón de despacho · Equipos → 270.55</t>
  </si>
  <si>
    <t xml:space="preserve">PULMONES — qué se junta entre puestos, cómo espera y cuántos carros</t>
  </si>
  <si>
    <t xml:space="preserve">Columnas «Pulmones»: lo que calcula el Excel de Pulmones. Columnas «Propuesta»: 1 solo carro por tramo; mientras viaja, la bandeja que se está llenando queda en el soporte fijo del puesto que entrega (regla de Pulmones, Parametros B39). Con tandas no hace falta el carro de más.</t>
  </si>
  <si>
    <t xml:space="preserve">Pulmón</t>
  </si>
  <si>
    <t xml:space="preserve">De → a</t>
  </si>
  <si>
    <t xml:space="preserve">Dónde espera</t>
  </si>
  <si>
    <t xml:space="preserve">Máximo (u)</t>
  </si>
  <si>
    <t xml:space="preserve">Cómo espera</t>
  </si>
  <si>
    <t xml:space="preserve">Bandejas / cajones</t>
  </si>
  <si>
    <t xml:space="preserve">Módulos de estante</t>
  </si>
  <si>
    <t xml:space="preserve">Carros (Pulmones)</t>
  </si>
  <si>
    <t xml:space="preserve">Por qué</t>
  </si>
  <si>
    <t xml:space="preserve">m² (Pulmones)</t>
  </si>
  <si>
    <t xml:space="preserve">Carros (propuesta)</t>
  </si>
  <si>
    <t xml:space="preserve">m² (propuesta)</t>
  </si>
  <si>
    <t xml:space="preserve">Comentario</t>
  </si>
  <si>
    <t xml:space="preserve">Fila en la fuente</t>
  </si>
  <si>
    <t xml:space="preserve">Franjas</t>
  </si>
  <si>
    <t xml:space="preserve">Corte de chapa — 1.er corte en franjas (guillotina 1, manuales + carros) → Corte de chapa — 2.º corte en piezas (guillotina 2, manuales + carros)</t>
  </si>
  <si>
    <t xml:space="preserve">Guillotina 2 (mesa elevadora 2)</t>
  </si>
  <si>
    <t xml:space="preserve">No se traslada en carro</t>
  </si>
  <si>
    <t xml:space="preserve">PULMONES-FLAMA2035 › hoja Pulmones, fila 6</t>
  </si>
  <si>
    <t xml:space="preserve">Desarrollos</t>
  </si>
  <si>
    <t xml:space="preserve">Corte de chapa — 2.º corte en piezas (guillotina 2, manuales + carros) → Marcado del cuerpo (manuales + carros)</t>
  </si>
  <si>
    <t xml:space="preserve">Marcado (manuales)</t>
  </si>
  <si>
    <t xml:space="preserve">Estante: pilas por modelo sobre bandejas</t>
  </si>
  <si>
    <t xml:space="preserve">1 carro por tramo</t>
  </si>
  <si>
    <t xml:space="preserve">PULMONES-FLAMA2035 › hoja Pulmones, fila 7</t>
  </si>
  <si>
    <t xml:space="preserve">Virolas</t>
  </si>
  <si>
    <t xml:space="preserve">Cilindrado → Soldadura longitudinal — 2,5 a 10 kg</t>
  </si>
  <si>
    <t xml:space="preserve">Sold. longitudinal 2,5–10 y TIG 1 kg</t>
  </si>
  <si>
    <t xml:space="preserve">Estante: parados en bandejas, un modelo por bandeja</t>
  </si>
  <si>
    <t xml:space="preserve">PULMONES-FLAMA2035 › hoja Pulmones, fila 8</t>
  </si>
  <si>
    <t xml:space="preserve">Cuerpos soldados</t>
  </si>
  <si>
    <t xml:space="preserve">Soldadura longitudinal — 2,5 a 10 kg → Encastre de fondo</t>
  </si>
  <si>
    <t xml:space="preserve">Encastre de fondo</t>
  </si>
  <si>
    <t xml:space="preserve">El que entrega no puede parar (es el cuello (soldadura longitudinal)): uno recibe mientras el otro viaja</t>
  </si>
  <si>
    <t xml:space="preserve">Con tandas alcanza 1: la bandeja en llenado queda en el soporte fijo mientras el carro viaja</t>
  </si>
  <si>
    <t xml:space="preserve">PULMONES-FLAMA2035 › hoja Pulmones, fila 9</t>
  </si>
  <si>
    <t xml:space="preserve">Fondos</t>
  </si>
  <si>
    <t xml:space="preserve">Corte de disco y embutido (cúpula y fondo) → Encastre de fondo</t>
  </si>
  <si>
    <t xml:space="preserve">Rack junto a la prensa + encastre</t>
  </si>
  <si>
    <t xml:space="preserve">Rack de pallets al lado de la prensa (la tanda) + estante en el puesto con la ola de mañana</t>
  </si>
  <si>
    <t xml:space="preserve">PULMONES-FLAMA2035 › hoja Pulmones, fila 10</t>
  </si>
  <si>
    <t xml:space="preserve">Cúpulas</t>
  </si>
  <si>
    <t xml:space="preserve">Corte de disco y embutido (cúpula y fondo) → Soldadura del cuello a la cúpula</t>
  </si>
  <si>
    <t xml:space="preserve">Rack junto a la prensa + prep. de cuello</t>
  </si>
  <si>
    <t xml:space="preserve">PULMONES-FLAMA2035 › hoja Pulmones, fila 11</t>
  </si>
  <si>
    <t xml:space="preserve">Desarrollos marcados</t>
  </si>
  <si>
    <t xml:space="preserve">Marcado del cuerpo (manuales + carros) → Cilindrado</t>
  </si>
  <si>
    <t xml:space="preserve">Cilindrado</t>
  </si>
  <si>
    <t xml:space="preserve">Pila al alcance entre el marcado y la cilindradora (pegados)</t>
  </si>
  <si>
    <t xml:space="preserve">PULMONES-FLAMA2035 › hoja Pulmones, fila 12</t>
  </si>
  <si>
    <t xml:space="preserve">Cúpulas con cuello</t>
  </si>
  <si>
    <t xml:space="preserve">Soldadura del cuello a la cúpula → Soldadura circunferencial de cúpula y fondo</t>
  </si>
  <si>
    <t xml:space="preserve">Sold. circunferencial</t>
  </si>
  <si>
    <t xml:space="preserve">Estante de cajones al pie de la soldadura circunferencial</t>
  </si>
  <si>
    <t xml:space="preserve">PULMONES-FLAMA2035 › hoja Pulmones, fila 13</t>
  </si>
  <si>
    <t xml:space="preserve">Cuerpos con fondo</t>
  </si>
  <si>
    <t xml:space="preserve">Encastre de fondo → Bordoneado</t>
  </si>
  <si>
    <t xml:space="preserve">Bordoneado</t>
  </si>
  <si>
    <t xml:space="preserve">Sin estante: el que consume no es más lento; lo que llega espera en los carros del tramo</t>
  </si>
  <si>
    <t xml:space="preserve">Sin estante: ↑(3 bandejas ÷ 3) + 1 (mínimo 2)</t>
  </si>
  <si>
    <t xml:space="preserve">Entra todo en 1 carro (3 bandejas): ese carro es el pulmón; la bandeja en llenado espera en el soporte fijo</t>
  </si>
  <si>
    <t xml:space="preserve">PULMONES-FLAMA2035 › hoja Pulmones, fila 14</t>
  </si>
  <si>
    <t xml:space="preserve">Cuerpos bordoneados</t>
  </si>
  <si>
    <t xml:space="preserve">Bordoneado → Soldadura circunferencial de cúpula y fondo</t>
  </si>
  <si>
    <t xml:space="preserve">PULMONES-FLAMA2035 › hoja Pulmones, fila 15</t>
  </si>
  <si>
    <t xml:space="preserve">Cilindros soldados</t>
  </si>
  <si>
    <t xml:space="preserve">Soldadura circunferencial de cúpula y fondo → Prueba hidráulica</t>
  </si>
  <si>
    <t xml:space="preserve">PH (bloque PH + secado)</t>
  </si>
  <si>
    <t xml:space="preserve">Sin estante: ↑(11 bandejas ÷ 3) + 1</t>
  </si>
  <si>
    <t xml:space="preserve">Lo que queda al cerrar el turno espera en carros estacionados (no son de tránsito). Alternativa: estante al pie del que consume</t>
  </si>
  <si>
    <t xml:space="preserve">PULMONES-FLAMA2035 › hoja Pulmones, fila 16</t>
  </si>
  <si>
    <t xml:space="preserve">Cilindros mojados</t>
  </si>
  <si>
    <t xml:space="preserve">Prueba hidráulica → Secado</t>
  </si>
  <si>
    <t xml:space="preserve">Secado</t>
  </si>
  <si>
    <t xml:space="preserve">Sin estante: ↑(5 bandejas ÷ 3) + 1</t>
  </si>
  <si>
    <t xml:space="preserve">PULMONES-FLAMA2035 › hoja Pulmones, fila 17</t>
  </si>
  <si>
    <t xml:space="preserve">Cilindros secos</t>
  </si>
  <si>
    <t xml:space="preserve">Secado → Granallado</t>
  </si>
  <si>
    <t xml:space="preserve">Granallado</t>
  </si>
  <si>
    <t xml:space="preserve">Sin estante: ↑(6 bandejas ÷ 3) + 1</t>
  </si>
  <si>
    <t xml:space="preserve">PULMONES-FLAMA2035 › hoja Pulmones, fila 18</t>
  </si>
  <si>
    <t xml:space="preserve">Cilindros granallados</t>
  </si>
  <si>
    <t xml:space="preserve">Granallado → Pintura en polvo + horno</t>
  </si>
  <si>
    <t xml:space="preserve">Pintura (carga a ganchos)</t>
  </si>
  <si>
    <t xml:space="preserve">PULMONES-FLAMA2035 › hoja Pulmones, fila 19</t>
  </si>
  <si>
    <t xml:space="preserve">Cilindros vacíos pintados</t>
  </si>
  <si>
    <t xml:space="preserve">Pintura en polvo + horno → Embalaje y paletizado</t>
  </si>
  <si>
    <t xml:space="preserve">Embalaje</t>
  </si>
  <si>
    <t xml:space="preserve">El que entrega no puede parar (sale del horno de pintura): uno recibe mientras el otro viaja</t>
  </si>
  <si>
    <t xml:space="preserve">PULMONES-FLAMA2035 › hoja Pulmones, fila 20</t>
  </si>
  <si>
    <t xml:space="preserve">Cilindros pintados para cargar</t>
  </si>
  <si>
    <t xml:space="preserve">Pintura en polvo + horno → Carga de polvo</t>
  </si>
  <si>
    <t xml:space="preserve">Carga de polvo</t>
  </si>
  <si>
    <t xml:space="preserve">PULMONES-FLAMA2035 › hoja Pulmones, fila 21</t>
  </si>
  <si>
    <t xml:space="preserve">Cilindros cargados de polvo</t>
  </si>
  <si>
    <t xml:space="preserve">Carga de polvo → Ensamblaje</t>
  </si>
  <si>
    <t xml:space="preserve">Ensamblaje</t>
  </si>
  <si>
    <t xml:space="preserve">PULMONES-FLAMA2035 › hoja Pulmones, fila 22</t>
  </si>
  <si>
    <t xml:space="preserve">Matafuegos armados</t>
  </si>
  <si>
    <t xml:space="preserve">Ensamblaje → Presurización</t>
  </si>
  <si>
    <t xml:space="preserve">Presurización</t>
  </si>
  <si>
    <t xml:space="preserve">PULMONES-FLAMA2035 › hoja Pulmones, fila 23</t>
  </si>
  <si>
    <t xml:space="preserve">Matafuegos presurizados</t>
  </si>
  <si>
    <t xml:space="preserve">Presurización → Control de calidad — Ensayo de pérdidas</t>
  </si>
  <si>
    <t xml:space="preserve">Ensayo de pérdidas</t>
  </si>
  <si>
    <t xml:space="preserve">PULMONES-FLAMA2035 › hoja Pulmones, fila 24</t>
  </si>
  <si>
    <t xml:space="preserve">Matafuegos ensayados</t>
  </si>
  <si>
    <t xml:space="preserve">Control de calidad — Ensayo de pérdidas → Etiquetado</t>
  </si>
  <si>
    <t xml:space="preserve">Etiquetado</t>
  </si>
  <si>
    <t xml:space="preserve">PULMONES-FLAMA2035 › hoja Pulmones, fila 25</t>
  </si>
  <si>
    <t xml:space="preserve">Matafuegos etiquetados</t>
  </si>
  <si>
    <t xml:space="preserve">Etiquetado → Embalaje y paletizado</t>
  </si>
  <si>
    <t xml:space="preserve">PULMONES-FLAMA2035 › hoja Pulmones, fila 26</t>
  </si>
  <si>
    <t xml:space="preserve">Total manuales</t>
  </si>
  <si>
    <t xml:space="preserve">Supermercado de fondos y cúpulas: rack de 2 vanos × 3 niveles, 17 pallets de 12 cajones (ya contado en fondos y cúpulas)</t>
  </si>
  <si>
    <t xml:space="preserve">Cuerpos planos grabados</t>
  </si>
  <si>
    <t xml:space="preserve">Guillotinas → Cilindrado de carros</t>
  </si>
  <si>
    <t xml:space="preserve">2.2 pulmón de cuerpos planos</t>
  </si>
  <si>
    <t xml:space="preserve">Sobre la mesa móvil de la guillotina, apilados (tanda de corte)</t>
  </si>
  <si>
    <t xml:space="preserve">La mesa móvil rueda hasta la cilindradora de carros</t>
  </si>
  <si>
    <t xml:space="preserve">PULMONES-FLAMA2035 › hoja Carros, fila 6</t>
  </si>
  <si>
    <t xml:space="preserve">Cilindrado → Punteo</t>
  </si>
  <si>
    <t xml:space="preserve">Punteo (4)</t>
  </si>
  <si>
    <t xml:space="preserve">Piso demarcado de 1,8 × 1,2 m al pie del punteo, paradas</t>
  </si>
  <si>
    <t xml:space="preserve">Rodando acostadas por el piso (11 a 41 kg): no se levantan</t>
  </si>
  <si>
    <t xml:space="preserve">PULMONES-FLAMA2035 › hoja Carros, fila 7</t>
  </si>
  <si>
    <t xml:space="preserve">Soldadura longitudinal → Armado (7)</t>
  </si>
  <si>
    <t xml:space="preserve">Armado (7)</t>
  </si>
  <si>
    <t xml:space="preserve">Piso demarcado al pie del armado (7), parados</t>
  </si>
  <si>
    <t xml:space="preserve">Rodando acostados hasta el virador del armado</t>
  </si>
  <si>
    <t xml:space="preserve">PULMONES-FLAMA2035 › hoja Carros, fila 8</t>
  </si>
  <si>
    <t xml:space="preserve">Cúpulas con cupla</t>
  </si>
  <si>
    <t xml:space="preserve">Soldadura de cupla (6) → Armado (7)</t>
  </si>
  <si>
    <t xml:space="preserve">Carro canasto entre 6 y 7</t>
  </si>
  <si>
    <t xml:space="preserve">En el carro canasto entre la soldadura de cupla y el armado</t>
  </si>
  <si>
    <t xml:space="preserve">El carro canasto (pulmón y traslado a la vez, puestos pegados)</t>
  </si>
  <si>
    <t xml:space="preserve">PULMONES-FLAMA2035 › hoja Carros, fila 9</t>
  </si>
  <si>
    <t xml:space="preserve">Cilindros cerrados</t>
  </si>
  <si>
    <t xml:space="preserve">Armado (7) → Accesorios (8)</t>
  </si>
  <si>
    <t xml:space="preserve">Accesorios (8)</t>
  </si>
  <si>
    <t xml:space="preserve">Piso demarcado al pie de accesorios (8), parados</t>
  </si>
  <si>
    <t xml:space="preserve">Rodando acostados hasta la mesa de accesorios</t>
  </si>
  <si>
    <t xml:space="preserve">PULMONES-FLAMA2035 › hoja Carros, fila 10</t>
  </si>
  <si>
    <t xml:space="preserve">Recipientes esperando la pintura</t>
  </si>
  <si>
    <t xml:space="preserve">PH y secado → Pintura tercerizada</t>
  </si>
  <si>
    <t xml:space="preserve">11 espera del pintor</t>
  </si>
  <si>
    <t xml:space="preserve">Espera del pintor: piso demarcado junto al portón, parados con un taco atrás</t>
  </si>
  <si>
    <t xml:space="preserve">Carro de manipulación hasta la espera y hasta la Master (rampa)</t>
  </si>
  <si>
    <t xml:space="preserve">PULMONES-FLAMA2035 › hoja Carros, fila 11</t>
  </si>
  <si>
    <t xml:space="preserve">Carros pintados</t>
  </si>
  <si>
    <t xml:space="preserve">Recepción de pintados (12) → Carga (13)</t>
  </si>
  <si>
    <t xml:space="preserve">12 recepción de pintados</t>
  </si>
  <si>
    <t xml:space="preserve">Piso demarcado de pintados: sin ruedas, parados sobre un taco de madera</t>
  </si>
  <si>
    <t xml:space="preserve">Carro de manipulación hasta la carga de polvo (13); las ruedas se ponen en el montaje</t>
  </si>
  <si>
    <t xml:space="preserve">PULMONES-FLAMA2035 › hoja Carros, fila 13</t>
  </si>
  <si>
    <t xml:space="preserve">Total carros</t>
  </si>
  <si>
    <t xml:space="preserve">Carros: piezas de 11 a 61 kg, esperan paradas en el piso (Ø + 100 mm)² × 1,4, sin estante ni carro de tránsito.</t>
  </si>
  <si>
    <t xml:space="preserve">Jaulas en los 23 puestos</t>
  </si>
  <si>
    <t xml:space="preserve">dentro de cada puesto</t>
  </si>
  <si>
    <t xml:space="preserve">en cada puesto</t>
  </si>
  <si>
    <t xml:space="preserve">jaulas de 28 equipos; en cada puesto se juntan los que llegan por hora × las horas que pasa cada uno ahí</t>
  </si>
  <si>
    <t xml:space="preserve">Balanceo-FLAMA2035 › Carga filas 104 a 130</t>
  </si>
  <si>
    <t xml:space="preserve">Balanceo-FLAMA2035 › hoja Carga, filas 104 a 130</t>
  </si>
  <si>
    <t xml:space="preserve">Pulmón de entrada</t>
  </si>
  <si>
    <t xml:space="preserve">camión → recepción</t>
  </si>
  <si>
    <t xml:space="preserve">jaulas (½ día)</t>
  </si>
  <si>
    <t xml:space="preserve">Pulmón de salida</t>
  </si>
  <si>
    <t xml:space="preserve">despacho → camión</t>
  </si>
  <si>
    <t xml:space="preserve">Total recargas</t>
  </si>
  <si>
    <t xml:space="preserve">ESTANTES, CARROS Y CÓMO SE CARGAN</t>
  </si>
  <si>
    <t xml:space="preserve">1) MUEBLES Y UNIDADES DE CARGA</t>
  </si>
  <si>
    <t xml:space="preserve">Elemento</t>
  </si>
  <si>
    <t xml:space="preserve">Frente (mm)</t>
  </si>
  <si>
    <t xml:space="preserve">Fondo (mm)</t>
  </si>
  <si>
    <t xml:space="preserve">Alto (mm)</t>
  </si>
  <si>
    <t xml:space="preserve">Niveles</t>
  </si>
  <si>
    <t xml:space="preserve">Carga máx.</t>
  </si>
  <si>
    <t xml:space="preserve">Cómo es por dentro</t>
  </si>
  <si>
    <t xml:space="preserve">Fuente</t>
  </si>
  <si>
    <t xml:space="preserve">Estante de carga media (1 módulo)</t>
  </si>
  <si>
    <t xml:space="preserve">según la pieza (abajo)</t>
  </si>
  <si>
    <t xml:space="preserve">300 kg por nivel</t>
  </si>
  <si>
    <t xml:space="preserve">Primer nivel a 100 mm del piso; el último no pasa de 1.600 mm (se carga sin escalera). Entre niveles: alto de la pieza + 100 mm para meter la mano + 40 mm de la bandeja. 1 bandeja o 3 cajones por nivel.</t>
  </si>
  <si>
    <t xml:space="preserve">PULMONES-FLAMA2035 › Parametros B7:B13</t>
  </si>
  <si>
    <t xml:space="preserve">Bandeja metálica</t>
  </si>
  <si>
    <t xml:space="preserve">150 kg</t>
  </si>
  <si>
    <t xml:space="preserve">Chapa plegada de 2 mm con borde de 30 mm. Rueda del carro al estante sobre carriles de rodillos. Un solo modelo por bandeja.</t>
  </si>
  <si>
    <t xml:space="preserve">PULMONES-FLAMA2035 › Parametros B19:B22</t>
  </si>
  <si>
    <t xml:space="preserve">Cajón plástico</t>
  </si>
  <si>
    <t xml:space="preserve">20 kg con el cajón</t>
  </si>
  <si>
    <t xml:space="preserve">Interior 560 × 360 × 280 mm (pared y fondo de 20 mm). Fondos y cúpulas en columnas anidadas con 5 mm de luz.</t>
  </si>
  <si>
    <t xml:space="preserve">PULMONES-FLAMA2035 › Parametros B23:B30</t>
  </si>
  <si>
    <t xml:space="preserve">Carro porta-bandejas (tránsito)</t>
  </si>
  <si>
    <t xml:space="preserve">3</t>
  </si>
  <si>
    <t xml:space="preserve">450 kg (3 × 150)</t>
  </si>
  <si>
    <t xml:space="preserve">3 niveles a la misma altura que los 3 primeros del estante: la bandeja pasa deslizando del carro al estante.</t>
  </si>
  <si>
    <t xml:space="preserve">PULMONES-FLAMA2035 › Parametros B37, B42</t>
  </si>
  <si>
    <t xml:space="preserve">Carro de 12 cajones (tránsito)</t>
  </si>
  <si>
    <t xml:space="preserve">4</t>
  </si>
  <si>
    <t xml:space="preserve">12 cajones</t>
  </si>
  <si>
    <t xml:space="preserve">4 niveles de 3 cajones de 600 × 400, a la altura de los niveles del estante de cajones (100 / 500 / 900 / 1.300 mm).</t>
  </si>
  <si>
    <t xml:space="preserve">PULMONES-FLAMA2035 › Parametros B38</t>
  </si>
  <si>
    <t xml:space="preserve">Soporte fijo junto al puesto que entrega</t>
  </si>
  <si>
    <t xml:space="preserve">1</t>
  </si>
  <si>
    <t xml:space="preserve">1 bandeja</t>
  </si>
  <si>
    <t xml:space="preserve">Donde queda la bandeja que se está llenando mientras el carro viaja.</t>
  </si>
  <si>
    <t xml:space="preserve">PULMONES-FLAMA2035 › Parametros B39</t>
  </si>
  <si>
    <t xml:space="preserve">Rack selectivo (supermercado de fondos y cúpulas)</t>
  </si>
  <si>
    <t xml:space="preserve">3 pallets por nivel</t>
  </si>
  <si>
    <t xml:space="preserve">Vano de 2,7 m, 3 pallets de 800 de frente por nivel. Primer nivel a 400 mm (picking a mano entre 0,55 y 1,45 m); arriba, reserva.</t>
  </si>
  <si>
    <t xml:space="preserve">PULMONES-FLAMA2035 › Parametros B53:B58</t>
  </si>
  <si>
    <t xml:space="preserve">Pallet de cajones (fondos o cúpulas)</t>
  </si>
  <si>
    <t xml:space="preserve">3 capas</t>
  </si>
  <si>
    <t xml:space="preserve">4 cajones por capa (2 × 2) y 3 capas. Un solo modelo por pallet.</t>
  </si>
  <si>
    <t xml:space="preserve">PULMONES-FLAMA2035 › Parametros B53</t>
  </si>
  <si>
    <t xml:space="preserve">Jaula de recargas</t>
  </si>
  <si>
    <t xml:space="preserve">apilada a 2</t>
  </si>
  <si>
    <t xml:space="preserve">28 equipos</t>
  </si>
  <si>
    <t xml:space="preserve">Paletizable.</t>
  </si>
  <si>
    <t xml:space="preserve">Balanceo-FLAMA2035 › Parametros (U_JAULA) y Carga A131</t>
  </si>
  <si>
    <t xml:space="preserve">2) CÓMO SE CARGA CADA PIEZA (por modelo)</t>
  </si>
  <si>
    <t xml:space="preserve">Pieza y unidad de carga</t>
  </si>
  <si>
    <t xml:space="preserve">Modelo</t>
  </si>
  <si>
    <t xml:space="preserve">Cómo va</t>
  </si>
  <si>
    <t xml:space="preserve">Piezas por bandeja / cajón</t>
  </si>
  <si>
    <t xml:space="preserve">Peso (kg)</t>
  </si>
  <si>
    <t xml:space="preserve">Alto que ocupa (mm)</t>
  </si>
  <si>
    <t xml:space="preserve">Altura de cada nivel del estante (mm)</t>
  </si>
  <si>
    <t xml:space="preserve">Por módulo de estante</t>
  </si>
  <si>
    <t xml:space="preserve">Por carro</t>
  </si>
  <si>
    <t xml:space="preserve">Desarrollo — pila sobre bandeja</t>
  </si>
  <si>
    <t xml:space="preserve">1 kg</t>
  </si>
  <si>
    <t xml:space="preserve">1 pila de 254 desarrollos (chapa de 0,9 mm)</t>
  </si>
  <si>
    <t xml:space="preserve">5 niveles: 100 / 469 / 838 / 1207 / 1576</t>
  </si>
  <si>
    <t xml:space="preserve">PULMONES-FLAMA2035 › hoja Unidades, columna C, filas 6 a 11</t>
  </si>
  <si>
    <t xml:space="preserve">2,5 kg</t>
  </si>
  <si>
    <t xml:space="preserve">1 pila de 147 desarrollos (chapa de 1,25 mm)</t>
  </si>
  <si>
    <t xml:space="preserve">5 niveles: 100 / 424 / 748 / 1072 / 1396</t>
  </si>
  <si>
    <t xml:space="preserve">PULMONES-FLAMA2035 › hoja Unidades, columna D, filas 6 a 11</t>
  </si>
  <si>
    <t xml:space="preserve">5 kg</t>
  </si>
  <si>
    <t xml:space="preserve">1 pila de 76 desarrollos (chapa de 1,6 mm)</t>
  </si>
  <si>
    <t xml:space="preserve">6 niveles: 100 / 362 / 624 / 886 / 1148 / 1410</t>
  </si>
  <si>
    <t xml:space="preserve">PULMONES-FLAMA2035 › hoja Unidades, columna E, filas 6 a 11</t>
  </si>
  <si>
    <t xml:space="preserve">10 kg</t>
  </si>
  <si>
    <t xml:space="preserve">1 pila de 34 desarrollos (chapa de 2,0 mm)</t>
  </si>
  <si>
    <t xml:space="preserve">8 niveles: 100 / 308 / 516 / 724 / 932 / 1140 / 1348 / 1556</t>
  </si>
  <si>
    <t xml:space="preserve">PULMONES-FLAMA2035 › hoja Unidades, columna F, filas 6 a 11</t>
  </si>
  <si>
    <t xml:space="preserve">Virola o cuerpo — parado sobre bandeja</t>
  </si>
  <si>
    <t xml:space="preserve">parados en 15 filas × 7 = 105 (Ø 76,2 mm)</t>
  </si>
  <si>
    <t xml:space="preserve">4 niveles: 100 / 538 / 976 / 1414</t>
  </si>
  <si>
    <t xml:space="preserve">PULMONES-FLAMA2035 › hoja Unidades, columna C, filas 13 a 18</t>
  </si>
  <si>
    <t xml:space="preserve">parados en 9 filas × 4 = 36 (Ø 124,0 mm)</t>
  </si>
  <si>
    <t xml:space="preserve">4 niveles: 100 / 573 / 1046 / 1519</t>
  </si>
  <si>
    <t xml:space="preserve">PULMONES-FLAMA2035 › hoja Unidades, columna D, filas 13 a 18</t>
  </si>
  <si>
    <t xml:space="preserve">parados en 7 filas × 3 = 21 (Ø 153,0 mm)</t>
  </si>
  <si>
    <t xml:space="preserve">3 niveles: 100 / 654 / 1208</t>
  </si>
  <si>
    <t xml:space="preserve">PULMONES-FLAMA2035 › hoja Unidades, columna E, filas 13 a 18</t>
  </si>
  <si>
    <t xml:space="preserve">parados en 6 filas × 3 = 18 (Ø 181,5 mm)</t>
  </si>
  <si>
    <t xml:space="preserve">3 niveles: 100 / 822 / 1544</t>
  </si>
  <si>
    <t xml:space="preserve">PULMONES-FLAMA2035 › hoja Unidades, columna F, filas 13 a 18</t>
  </si>
  <si>
    <t xml:space="preserve">Cilindro — parado sobre bandeja</t>
  </si>
  <si>
    <t xml:space="preserve">PULMONES-FLAMA2035 › hoja Unidades, columna C, filas 20 a 25</t>
  </si>
  <si>
    <t xml:space="preserve">PULMONES-FLAMA2035 › hoja Unidades, columna D, filas 20 a 25</t>
  </si>
  <si>
    <t xml:space="preserve">PULMONES-FLAMA2035 › hoja Unidades, columna E, filas 20 a 25</t>
  </si>
  <si>
    <t xml:space="preserve">PULMONES-FLAMA2035 › hoja Unidades, columna F, filas 20 a 25</t>
  </si>
  <si>
    <t xml:space="preserve">Matafuego — parado sobre bandeja</t>
  </si>
  <si>
    <t xml:space="preserve">parados, 72 (por peso: entran 15 × 7 = 105)</t>
  </si>
  <si>
    <t xml:space="preserve">3 niveles: 100 / 630 / 1160</t>
  </si>
  <si>
    <t xml:space="preserve">PULMONES-FLAMA2035 › hoja Unidades, columna C, filas 27 a 32</t>
  </si>
  <si>
    <t xml:space="preserve">parados, 34 (por peso: entran 9 × 4 = 36)</t>
  </si>
  <si>
    <t xml:space="preserve">3 niveles: 100 / 655 / 1210</t>
  </si>
  <si>
    <t xml:space="preserve">PULMONES-FLAMA2035 › hoja Unidades, columna D, filas 27 a 32</t>
  </si>
  <si>
    <t xml:space="preserve">parados, 18 (por peso: entran 7 × 3 = 21)</t>
  </si>
  <si>
    <t xml:space="preserve">3 niveles: 100 / 735 / 1370</t>
  </si>
  <si>
    <t xml:space="preserve">PULMONES-FLAMA2035 › hoja Unidades, columna E, filas 27 a 32</t>
  </si>
  <si>
    <t xml:space="preserve">parados, 9 (por peso: entran 6 × 3 = 18)</t>
  </si>
  <si>
    <t xml:space="preserve">2 niveles: 100 / 905</t>
  </si>
  <si>
    <t xml:space="preserve">En el carro entran 3 bandejas, pero en el estante solo 2 niveles quedan bajo 1,6 m</t>
  </si>
  <si>
    <t xml:space="preserve">PULMONES-FLAMA2035 › hoja Unidades, columna F, filas 27 a 32</t>
  </si>
  <si>
    <t xml:space="preserve">Fondo — en cajón</t>
  </si>
  <si>
    <t xml:space="preserve">6 × 4 columnas de 12 piezas anidadas</t>
  </si>
  <si>
    <t xml:space="preserve">4 niveles: 100 / 500 / 900 / 1300</t>
  </si>
  <si>
    <t xml:space="preserve">PULMONES-FLAMA2035 › hoja Unidades, columna C, filas 34 a 39</t>
  </si>
  <si>
    <t xml:space="preserve">4 × 2 columnas de 11 piezas anidadas</t>
  </si>
  <si>
    <t xml:space="preserve">PULMONES-FLAMA2035 › hoja Unidades, columna D, filas 34 a 39</t>
  </si>
  <si>
    <t xml:space="preserve">3 × 2 columnas de 8 piezas anidadas</t>
  </si>
  <si>
    <t xml:space="preserve">PULMONES-FLAMA2035 › hoja Unidades, columna E, filas 34 a 39</t>
  </si>
  <si>
    <t xml:space="preserve">3 × 1 columnas de 9 piezas anidadas</t>
  </si>
  <si>
    <t xml:space="preserve">PULMONES-FLAMA2035 › hoja Unidades, columna F, filas 34 a 39</t>
  </si>
  <si>
    <t xml:space="preserve">Cúpula — en cajón</t>
  </si>
  <si>
    <t xml:space="preserve">PULMONES-FLAMA2035 › hoja Unidades, columna C, filas 41 a 46</t>
  </si>
  <si>
    <t xml:space="preserve">4 × 2 columnas de 10 piezas anidadas</t>
  </si>
  <si>
    <t xml:space="preserve">PULMONES-FLAMA2035 › hoja Unidades, columna D, filas 41 a 46</t>
  </si>
  <si>
    <t xml:space="preserve">3 × 2 columnas de 6 piezas anidadas</t>
  </si>
  <si>
    <t xml:space="preserve">PULMONES-FLAMA2035 › hoja Unidades, columna E, filas 41 a 46</t>
  </si>
  <si>
    <t xml:space="preserve">3 × 1 columnas de 7 piezas anidadas</t>
  </si>
  <si>
    <t xml:space="preserve">PULMONES-FLAMA2035 › hoja Unidades, columna F, filas 41 a 46</t>
  </si>
  <si>
    <t xml:space="preserve">Cúpula con cuello — en cajón</t>
  </si>
  <si>
    <t xml:space="preserve">sueltas en el cajón (Pulmones, Unidades fila 48; límite 20 kg)</t>
  </si>
  <si>
    <t xml:space="preserve">PULMONES-FLAMA2035 › hoja Unidades, columna C, filas 48 a 53</t>
  </si>
  <si>
    <t xml:space="preserve">PULMONES-FLAMA2035 › hoja Unidades, columna D, filas 48 a 53</t>
  </si>
  <si>
    <t xml:space="preserve">PULMONES-FLAMA2035 › hoja Unidades, columna E, filas 48 a 53</t>
  </si>
  <si>
    <t xml:space="preserve">PULMONES-FLAMA2035 › hoja Unidades, columna F, filas 48 a 53</t>
  </si>
  <si>
    <t xml:space="preserve">Fuente: PULMONES-FLAMA2035, hojas Unidades y Datos (pesos, Ø y altos de cada modelo). Altura de los niveles = 100 mm + n × (alto de la pieza + 100 mm + 40 mm de bandeja).</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</si>
</sst>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9"/>
      <name val="Arial"/>
      <family val="0"/>
      <charset val="1"/>
    </font>
    <font>
      <b val="true"/>
      <sz val="10"/>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sz val="10"/>
      <color rgb="FFC00000"/>
      <name val="Arial"/>
      <family val="0"/>
      <charset val="1"/>
    </font>
    <font>
      <sz val="10"/>
      <name val="WenQuanYi Zen Hei"/>
      <family val="2"/>
    </font>
  </fonts>
  <fills count="4">
    <fill>
      <patternFill patternType="none"/>
    </fill>
    <fill>
      <patternFill patternType="gray125"/>
    </fill>
    <fill>
      <patternFill patternType="solid">
        <fgColor rgb="FF404040"/>
        <bgColor rgb="FF333300"/>
      </patternFill>
    </fill>
    <fill>
      <patternFill patternType="solid">
        <fgColor rgb="FFD9D9D9"/>
        <bgColor rgb="FFBFBFB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7" fillId="3" borderId="0" xfId="0" applyFont="true" applyBorder="fals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7" fontId="8" fillId="0" borderId="0" xfId="0" applyFont="true" applyBorder="fals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rive.google.com/file/d/1SwGuppOSsaAXO29onhyWUH40O1h_4XmG/view" TargetMode="External"/><Relationship Id="rId2" Type="http://schemas.openxmlformats.org/officeDocument/2006/relationships/hyperlink" Target="https://www.exapro.com/ermak-hgs-2600-x-6-p240816233/" TargetMode="External"/><Relationship Id="rId3" Type="http://schemas.openxmlformats.org/officeDocument/2006/relationships/hyperlink" Target="https://drive.google.com/file/d/1SwGuppOSsaAXO29onhyWUH40O1h_4XmG/view" TargetMode="External"/><Relationship Id="rId4" Type="http://schemas.openxmlformats.org/officeDocument/2006/relationships/hyperlink" Target="https://drive.google.com/file/d/1SwGuppOSsaAXO29onhyWUH40O1h_4XmG/view" TargetMode="External"/><Relationship Id="rId5" Type="http://schemas.openxmlformats.org/officeDocument/2006/relationships/hyperlink" Target="https://www.goldsupplier.com/provide/p106252035.html" TargetMode="External"/><Relationship Id="rId6" Type="http://schemas.openxmlformats.org/officeDocument/2006/relationships/hyperlink" Target="https://drive.google.com/file/d/1SwGuppOSsaAXO29onhyWUH40O1h_4XmG/view" TargetMode="External"/><Relationship Id="rId7" Type="http://schemas.openxmlformats.org/officeDocument/2006/relationships/hyperlink" Target="https://www.workplace-products.co.uk/media/wysiwyg/infographics/handling-lifting/3000KG%20SINGLE%20SCISSOR%20LIFT%20TABLES.pdf" TargetMode="External"/><Relationship Id="rId8" Type="http://schemas.openxmlformats.org/officeDocument/2006/relationships/hyperlink" Target="https://drive.google.com/file/d/1CxHINAnd0jSBd5QuU5_82_sKCJAVXu9r/view" TargetMode="External"/><Relationship Id="rId9" Type="http://schemas.openxmlformats.org/officeDocument/2006/relationships/hyperlink" Target="https://drive.google.com/file/d/1CxHINAnd0jSBd5QuU5_82_sKCJAVXu9r/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SwGuppOSsaAXO29onhyWUH40O1h_4XmG/view" TargetMode="External"/><Relationship Id="rId12" Type="http://schemas.openxmlformats.org/officeDocument/2006/relationships/hyperlink" Target="https://drive.google.com/file/d/12VJ8POMn2I0VnGP2nnL7FZAyA2cLw37y/view" TargetMode="External"/><Relationship Id="rId13" Type="http://schemas.openxmlformats.org/officeDocument/2006/relationships/hyperlink" Target="https://drive.google.com/file/d/1SwGuppOSsaAXO29onhyWUH40O1h_4XmG/view" TargetMode="External"/><Relationship Id="rId14" Type="http://schemas.openxmlformats.org/officeDocument/2006/relationships/hyperlink" Target="https://drive.google.com/file/d/1CxHINAnd0jSBd5QuU5_82_sKCJAVXu9r/view" TargetMode="External"/><Relationship Id="rId15" Type="http://schemas.openxmlformats.org/officeDocument/2006/relationships/hyperlink" Target="https://drive.google.com/file/d/1CxHINAnd0jSBd5QuU5_82_sKCJAVXu9r/view" TargetMode="External"/><Relationship Id="rId16" Type="http://schemas.openxmlformats.org/officeDocument/2006/relationships/hyperlink" Target="https://drive.google.com/file/d/1SwGuppOSsaAXO29onhyWUH40O1h_4XmG/view" TargetMode="External"/><Relationship Id="rId17" Type="http://schemas.openxmlformats.org/officeDocument/2006/relationships/hyperlink" Target="https://drive.google.com/file/d/1DD4vE8sv9Qt4VWxQzgCuqXfTtXliDViB/view" TargetMode="External"/><Relationship Id="rId18" Type="http://schemas.openxmlformats.org/officeDocument/2006/relationships/hyperlink" Target="https://drive.google.com/file/d/1SwGuppOSsaAXO29onhyWUH40O1h_4XmG/view" TargetMode="External"/><Relationship Id="rId19" Type="http://schemas.openxmlformats.org/officeDocument/2006/relationships/hyperlink" Target="https://drive.google.com/file/d/1DD4vE8sv9Qt4VWxQzgCuqXfTtXliDViB/view" TargetMode="External"/><Relationship Id="rId20" Type="http://schemas.openxmlformats.org/officeDocument/2006/relationships/hyperlink" Target="https://drive.google.com/file/d/1SwGuppOSsaAXO29onhyWUH40O1h_4XmG/view" TargetMode="External"/><Relationship Id="rId21" Type="http://schemas.openxmlformats.org/officeDocument/2006/relationships/hyperlink" Target="https://drive.google.com/file/d/1CxHINAnd0jSBd5QuU5_82_sKCJAVXu9r/view" TargetMode="External"/><Relationship Id="rId22" Type="http://schemas.openxmlformats.org/officeDocument/2006/relationships/hyperlink" Target="https://drive.google.com/file/d/1CxHINAnd0jSBd5QuU5_82_sKCJAVXu9r/view" TargetMode="External"/><Relationship Id="rId23" Type="http://schemas.openxmlformats.org/officeDocument/2006/relationships/hyperlink" Target="https://drive.google.com/file/d/1SwGuppOSsaAXO29onhyWUH40O1h_4XmG/view" TargetMode="External"/><Relationship Id="rId24" Type="http://schemas.openxmlformats.org/officeDocument/2006/relationships/hyperlink" Target="https://drive.google.com/file/d/1BvF9XAzfgpqw7VGH9EFjVisbBKNz9KFx/view" TargetMode="External"/><Relationship Id="rId25" Type="http://schemas.openxmlformats.org/officeDocument/2006/relationships/hyperlink" Target="https://drive.google.com/file/d/1SwGuppOSsaAXO29onhyWUH40O1h_4XmG/view" TargetMode="External"/><Relationship Id="rId26" Type="http://schemas.openxmlformats.org/officeDocument/2006/relationships/hyperlink" Target="https://drive.google.com/file/d/1BvF9XAzfgpqw7VGH9EFjVisbBKNz9KFx/view" TargetMode="External"/><Relationship Id="rId27" Type="http://schemas.openxmlformats.org/officeDocument/2006/relationships/hyperlink" Target="https://drive.google.com/file/d/1SwGuppOSsaAXO29onhyWUH40O1h_4XmG/view" TargetMode="External"/><Relationship Id="rId28" Type="http://schemas.openxmlformats.org/officeDocument/2006/relationships/hyperlink" Target="https://drive.google.com/file/d/1CxHINAnd0jSBd5QuU5_82_sKCJAVXu9r/view" TargetMode="External"/><Relationship Id="rId29" Type="http://schemas.openxmlformats.org/officeDocument/2006/relationships/hyperlink" Target="https://drive.google.com/file/d/1CxHINAnd0jSBd5QuU5_82_sKCJAVXu9r/view"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drive.google.com/file/d/1SwGuppOSsaAXO29onhyWUH40O1h_4XmG/view" TargetMode="External"/><Relationship Id="rId2" Type="http://schemas.openxmlformats.org/officeDocument/2006/relationships/hyperlink" Target="https://www.exapro.com/sp/sangiacomo-t130rce-19888" TargetMode="External"/><Relationship Id="rId3" Type="http://schemas.openxmlformats.org/officeDocument/2006/relationships/hyperlink" Target="https://drive.google.com/file/d/1SwGuppOSsaAXO29onhyWUH40O1h_4XmG/view" TargetMode="External"/><Relationship Id="rId4" Type="http://schemas.openxmlformats.org/officeDocument/2006/relationships/hyperlink" Target="https://drive.google.com/file/d/1vnSpthna2z5ooZpg7lA9GT3m9wSFvEh6/view" TargetMode="External"/><Relationship Id="rId5" Type="http://schemas.openxmlformats.org/officeDocument/2006/relationships/hyperlink" Target="https://drive.google.com/file/d/1SwGuppOSsaAXO29onhyWUH40O1h_4XmG/view" TargetMode="External"/><Relationship Id="rId6" Type="http://schemas.openxmlformats.org/officeDocument/2006/relationships/hyperlink" Target="https://drive.google.com/file/d/1vnSpthna2z5ooZpg7lA9GT3m9wSFvEh6/view" TargetMode="External"/><Relationship Id="rId7" Type="http://schemas.openxmlformats.org/officeDocument/2006/relationships/hyperlink" Target="https://drive.google.com/file/d/1SwGuppOSsaAXO29onhyWUH40O1h_4XmG/view" TargetMode="External"/><Relationship Id="rId8" Type="http://schemas.openxmlformats.org/officeDocument/2006/relationships/hyperlink" Target="https://drive.google.com/file/d/1CxHINAnd0jSBd5QuU5_82_sKCJAVXu9r/view" TargetMode="External"/><Relationship Id="rId9" Type="http://schemas.openxmlformats.org/officeDocument/2006/relationships/hyperlink" Target="https://drive.google.com/file/d/1CxHINAnd0jSBd5QuU5_82_sKCJAVXu9r/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CxHINAnd0jSBd5QuU5_82_sKCJAVXu9r/view" TargetMode="External"/><Relationship Id="rId12" Type="http://schemas.openxmlformats.org/officeDocument/2006/relationships/hyperlink" Target="https://drive.google.com/file/d/1CxHINAnd0jSBd5QuU5_82_sKCJAVXu9r/view" TargetMode="External"/><Relationship Id="rId13" Type="http://schemas.openxmlformats.org/officeDocument/2006/relationships/hyperlink" Target="https://drive.google.com/file/d/1CxHINAnd0jSBd5QuU5_82_sKCJAVXu9r/view" TargetMode="External"/><Relationship Id="rId14" Type="http://schemas.openxmlformats.org/officeDocument/2006/relationships/hyperlink" Target="https://drive.google.com/file/d/1SwGuppOSsaAXO29onhyWUH40O1h_4XmG/view" TargetMode="External"/><Relationship Id="rId15" Type="http://schemas.openxmlformats.org/officeDocument/2006/relationships/hyperlink" Target="https://drive.google.com/file/d/1SwGuppOSsaAXO29onhyWUH40O1h_4XmG/view" TargetMode="External"/><Relationship Id="rId16" Type="http://schemas.openxmlformats.org/officeDocument/2006/relationships/hyperlink" Target="https://drive.google.com/file/d/1SwGuppOSsaAXO29onhyWUH40O1h_4XmG/view" TargetMode="External"/><Relationship Id="rId17" Type="http://schemas.openxmlformats.org/officeDocument/2006/relationships/hyperlink" Target="https://drive.google.com/file/d/12VJ8POMn2I0VnGP2nnL7FZAyA2cLw37y/view" TargetMode="External"/><Relationship Id="rId18" Type="http://schemas.openxmlformats.org/officeDocument/2006/relationships/hyperlink" Target="https://drive.google.com/file/d/1SwGuppOSsaAXO29onhyWUH40O1h_4XmG/view" TargetMode="External"/><Relationship Id="rId19" Type="http://schemas.openxmlformats.org/officeDocument/2006/relationships/hyperlink" Target="https://drive.google.com/file/d/1CxHINAnd0jSBd5QuU5_82_sKCJAVXu9r/view" TargetMode="External"/><Relationship Id="rId20" Type="http://schemas.openxmlformats.org/officeDocument/2006/relationships/hyperlink" Target="https://drive.google.com/file/d/1CxHINAnd0jSBd5QuU5_82_sKCJAVXu9r/view" TargetMode="External"/><Relationship Id="rId21" Type="http://schemas.openxmlformats.org/officeDocument/2006/relationships/hyperlink" Target="https://drive.google.com/file/d/1CxHINAnd0jSBd5QuU5_82_sKCJAVXu9r/view" TargetMode="External"/><Relationship Id="rId22" Type="http://schemas.openxmlformats.org/officeDocument/2006/relationships/hyperlink" Target="https://drive.google.com/file/d/1CxHINAnd0jSBd5QuU5_82_sKCJAVXu9r/view" TargetMode="External"/><Relationship Id="rId23" Type="http://schemas.openxmlformats.org/officeDocument/2006/relationships/hyperlink" Target="https://drive.google.com/file/d/1SwGuppOSsaAXO29onhyWUH40O1h_4XmG/view" TargetMode="External"/><Relationship Id="rId24" Type="http://schemas.openxmlformats.org/officeDocument/2006/relationships/hyperlink" Target="https://drive.google.com/file/d/12VJ8POMn2I0VnGP2nnL7FZAyA2cLw37y/view" TargetMode="External"/><Relationship Id="rId25" Type="http://schemas.openxmlformats.org/officeDocument/2006/relationships/hyperlink" Target="https://drive.google.com/file/d/1SwGuppOSsaAXO29onhyWUH40O1h_4XmG/view" TargetMode="External"/><Relationship Id="rId26" Type="http://schemas.openxmlformats.org/officeDocument/2006/relationships/hyperlink" Target="https://drive.google.com/file/d/1CxHINAnd0jSBd5QuU5_82_sKCJAVXu9r/view" TargetMode="External"/><Relationship Id="rId27" Type="http://schemas.openxmlformats.org/officeDocument/2006/relationships/hyperlink" Target="https://drive.google.com/file/d/1CxHINAnd0jSBd5QuU5_82_sKCJAVXu9r/view" TargetMode="External"/><Relationship Id="rId28" Type="http://schemas.openxmlformats.org/officeDocument/2006/relationships/hyperlink" Target="https://drive.google.com/file/d/1SwGuppOSsaAXO29onhyWUH40O1h_4XmG/view" TargetMode="External"/><Relationship Id="rId29" Type="http://schemas.openxmlformats.org/officeDocument/2006/relationships/hyperlink" Target="https://china.org.ru/product/1607235162" TargetMode="External"/><Relationship Id="rId30" Type="http://schemas.openxmlformats.org/officeDocument/2006/relationships/hyperlink" Target="https://drive.google.com/file/d/1SwGuppOSsaAXO29onhyWUH40O1h_4XmG/view" TargetMode="External"/><Relationship Id="rId31" Type="http://schemas.openxmlformats.org/officeDocument/2006/relationships/hyperlink" Target="https://drive.google.com/file/d/1CxHINAnd0jSBd5QuU5_82_sKCJAVXu9r/view" TargetMode="External"/><Relationship Id="rId32" Type="http://schemas.openxmlformats.org/officeDocument/2006/relationships/hyperlink" Target="https://drive.google.com/file/d/1CxHINAnd0jSBd5QuU5_82_sKCJAVXu9r/view" TargetMode="External"/><Relationship Id="rId33" Type="http://schemas.openxmlformats.org/officeDocument/2006/relationships/hyperlink" Target="https://drive.google.com/file/d/1CxHINAnd0jSBd5QuU5_82_sKCJAVXu9r/view" TargetMode="External"/><Relationship Id="rId34" Type="http://schemas.openxmlformats.org/officeDocument/2006/relationships/hyperlink" Target="https://drive.google.com/file/d/1SwGuppOSsaAXO29onhyWUH40O1h_4XmG/view" TargetMode="External"/><Relationship Id="rId35" Type="http://schemas.openxmlformats.org/officeDocument/2006/relationships/hyperlink" Target="https://drive.google.com/file/d/1SwGuppOSsaAXO29onhyWUH40O1h_4XmG/view" TargetMode="External"/><Relationship Id="rId36" Type="http://schemas.openxmlformats.org/officeDocument/2006/relationships/hyperlink" Target="https://drive.google.com/file/d/1SwGuppOSsaAXO29onhyWUH40O1h_4XmG/view" TargetMode="External"/><Relationship Id="rId37" Type="http://schemas.openxmlformats.org/officeDocument/2006/relationships/hyperlink" Target="https://drive.google.com/file/d/1SwGuppOSsaAXO29onhyWUH40O1h_4XmG/view" TargetMode="External"/><Relationship Id="rId38" Type="http://schemas.openxmlformats.org/officeDocument/2006/relationships/hyperlink" Target="https://drive.google.com/file/d/1CxHINAnd0jSBd5QuU5_82_sKCJAVXu9r/view" TargetMode="External"/><Relationship Id="rId39" Type="http://schemas.openxmlformats.org/officeDocument/2006/relationships/hyperlink" Target="https://drive.google.com/file/d/1CxHINAnd0jSBd5QuU5_82_sKCJAVXu9r/view" TargetMode="External"/><Relationship Id="rId40" Type="http://schemas.openxmlformats.org/officeDocument/2006/relationships/hyperlink" Target="https://drive.google.com/file/d/1CxHINAnd0jSBd5QuU5_82_sKCJAVXu9r/view" TargetMode="External"/><Relationship Id="rId41" Type="http://schemas.openxmlformats.org/officeDocument/2006/relationships/hyperlink" Target="https://drive.google.com/file/d/1CxHINAnd0jSBd5QuU5_82_sKCJAVXu9r/view" TargetMode="External"/><Relationship Id="rId42" Type="http://schemas.openxmlformats.org/officeDocument/2006/relationships/hyperlink" Target="https://drive.google.com/file/d/1CxHINAnd0jSBd5QuU5_82_sKCJAVXu9r/view" TargetMode="External"/><Relationship Id="rId43" Type="http://schemas.openxmlformats.org/officeDocument/2006/relationships/hyperlink" Target="https://drive.google.com/file/d/1SwGuppOSsaAXO29onhyWUH40O1h_4XmG/view" TargetMode="External"/><Relationship Id="rId44" Type="http://schemas.openxmlformats.org/officeDocument/2006/relationships/hyperlink" Target="https://resale.info/en/ak-bend-akm-250-motor./No-165720938" TargetMode="External"/><Relationship Id="rId45" Type="http://schemas.openxmlformats.org/officeDocument/2006/relationships/hyperlink" Target="https://drive.google.com/file/d/1SwGuppOSsaAXO29onhyWUH40O1h_4XmG/view" TargetMode="External"/><Relationship Id="rId46" Type="http://schemas.openxmlformats.org/officeDocument/2006/relationships/hyperlink" Target="https://drive.google.com/file/d/1CxHINAnd0jSBd5QuU5_82_sKCJAVXu9r/view" TargetMode="External"/><Relationship Id="rId47" Type="http://schemas.openxmlformats.org/officeDocument/2006/relationships/hyperlink" Target="https://drive.google.com/file/d/1CxHINAnd0jSBd5QuU5_82_sKCJAVXu9r/view" TargetMode="External"/><Relationship Id="rId48" Type="http://schemas.openxmlformats.org/officeDocument/2006/relationships/hyperlink" Target="https://drive.google.com/file/d/1SwGuppOSsaAXO29onhyWUH40O1h_4XmG/view" TargetMode="External"/><Relationship Id="rId49" Type="http://schemas.openxmlformats.org/officeDocument/2006/relationships/hyperlink" Target="https://drive.google.com/file/d/1SwGuppOSsaAXO29onhyWUH40O1h_4XmG/view" TargetMode="External"/><Relationship Id="rId50" Type="http://schemas.openxmlformats.org/officeDocument/2006/relationships/hyperlink" Target="https://drive.google.com/file/d/1CxHINAnd0jSBd5QuU5_82_sKCJAVXu9r/view" TargetMode="External"/><Relationship Id="rId51" Type="http://schemas.openxmlformats.org/officeDocument/2006/relationships/hyperlink" Target="https://drive.google.com/file/d/1CxHINAnd0jSBd5QuU5_82_sKCJAVXu9r/view" TargetMode="External"/><Relationship Id="rId52" Type="http://schemas.openxmlformats.org/officeDocument/2006/relationships/hyperlink" Target="https://drive.google.com/file/d/1CxHINAnd0jSBd5QuU5_82_sKCJAVXu9r/view" TargetMode="External"/><Relationship Id="rId53" Type="http://schemas.openxmlformats.org/officeDocument/2006/relationships/hyperlink" Target="https://drive.google.com/file/d/1CxHINAnd0jSBd5QuU5_82_sKCJAVXu9r/view" TargetMode="External"/><Relationship Id="rId54" Type="http://schemas.openxmlformats.org/officeDocument/2006/relationships/hyperlink" Target="https://drive.google.com/file/d/1CxHINAnd0jSBd5QuU5_82_sKCJAVXu9r/view" TargetMode="External"/><Relationship Id="rId55" Type="http://schemas.openxmlformats.org/officeDocument/2006/relationships/hyperlink" Target="https://drive.google.com/file/d/1CxHINAnd0jSBd5QuU5_82_sKCJAVXu9r/view" TargetMode="External"/><Relationship Id="rId56" Type="http://schemas.openxmlformats.org/officeDocument/2006/relationships/hyperlink" Target="https://drive.google.com/file/d/1SwGuppOSsaAXO29onhyWUH40O1h_4XmG/view" TargetMode="External"/><Relationship Id="rId57" Type="http://schemas.openxmlformats.org/officeDocument/2006/relationships/hyperlink" Target="https://drive.google.com/file/d/1SwGuppOSsaAXO29onhyWUH40O1h_4XmG/view" TargetMode="External"/><Relationship Id="rId58" Type="http://schemas.openxmlformats.org/officeDocument/2006/relationships/hyperlink" Target="https://drive.google.com/file/d/1SwGuppOSsaAXO29onhyWUH40O1h_4XmG/view" TargetMode="External"/><Relationship Id="rId59" Type="http://schemas.openxmlformats.org/officeDocument/2006/relationships/hyperlink" Target="https://drive.google.com/file/d/1WuRcYbuJsfRRfZVtH2vvID_x4sdWeMNW/view" TargetMode="External"/><Relationship Id="rId60" Type="http://schemas.openxmlformats.org/officeDocument/2006/relationships/hyperlink" Target="https://drive.google.com/file/d/1SwGuppOSsaAXO29onhyWUH40O1h_4XmG/view" TargetMode="External"/><Relationship Id="rId61" Type="http://schemas.openxmlformats.org/officeDocument/2006/relationships/hyperlink" Target="https://drive.google.com/file/d/1CxHINAnd0jSBd5QuU5_82_sKCJAVXu9r/view" TargetMode="External"/><Relationship Id="rId62" Type="http://schemas.openxmlformats.org/officeDocument/2006/relationships/hyperlink" Target="https://drive.google.com/file/d/1CxHINAnd0jSBd5QuU5_82_sKCJAVXu9r/view" TargetMode="External"/><Relationship Id="rId63" Type="http://schemas.openxmlformats.org/officeDocument/2006/relationships/hyperlink" Target="https://drive.google.com/file/d/1SwGuppOSsaAXO29onhyWUH40O1h_4XmG/view" TargetMode="External"/><Relationship Id="rId64" Type="http://schemas.openxmlformats.org/officeDocument/2006/relationships/hyperlink" Target="https://drive.google.com/file/d/1SwGuppOSsaAXO29onhyWUH40O1h_4XmG/view" TargetMode="External"/><Relationship Id="rId65" Type="http://schemas.openxmlformats.org/officeDocument/2006/relationships/hyperlink" Target="https://drive.google.com/file/d/1SwGuppOSsaAXO29onhyWUH40O1h_4XmG/view" TargetMode="External"/><Relationship Id="rId66" Type="http://schemas.openxmlformats.org/officeDocument/2006/relationships/hyperlink" Target="https://drive.google.com/file/d/1SwGuppOSsaAXO29onhyWUH40O1h_4XmG/view" TargetMode="External"/><Relationship Id="rId67" Type="http://schemas.openxmlformats.org/officeDocument/2006/relationships/hyperlink" Target="https://drive.google.com/file/d/1SwGuppOSsaAXO29onhyWUH40O1h_4XmG/view" TargetMode="External"/><Relationship Id="rId68" Type="http://schemas.openxmlformats.org/officeDocument/2006/relationships/hyperlink" Target="https://drive.google.com/file/d/1cekl22rgI4pB7ik3qNjOe7DJZVNJ-voK/view" TargetMode="External"/><Relationship Id="rId69" Type="http://schemas.openxmlformats.org/officeDocument/2006/relationships/hyperlink" Target="https://drive.google.com/file/d/1cekl22rgI4pB7ik3qNjOe7DJZVNJ-voK/view" TargetMode="External"/><Relationship Id="rId70" Type="http://schemas.openxmlformats.org/officeDocument/2006/relationships/hyperlink" Target="https://drive.google.com/file/d/1cekl22rgI4pB7ik3qNjOe7DJZVNJ-voK/view" TargetMode="External"/><Relationship Id="rId71" Type="http://schemas.openxmlformats.org/officeDocument/2006/relationships/hyperlink" Target="https://drive.google.com/file/d/1cekl22rgI4pB7ik3qNjOe7DJZVNJ-voK/view" TargetMode="External"/><Relationship Id="rId72" Type="http://schemas.openxmlformats.org/officeDocument/2006/relationships/hyperlink" Target="https://drive.google.com/file/d/1CxHINAnd0jSBd5QuU5_82_sKCJAVXu9r/view" TargetMode="External"/><Relationship Id="rId73" Type="http://schemas.openxmlformats.org/officeDocument/2006/relationships/hyperlink" Target="https://drive.google.com/file/d/1CxHINAnd0jSBd5QuU5_82_sKCJAVXu9r/view" TargetMode="External"/><Relationship Id="rId74" Type="http://schemas.openxmlformats.org/officeDocument/2006/relationships/hyperlink" Target="https://drive.google.com/file/d/1CxHINAnd0jSBd5QuU5_82_sKCJAVXu9r/view" TargetMode="External"/><Relationship Id="rId75" Type="http://schemas.openxmlformats.org/officeDocument/2006/relationships/hyperlink" Target="https://drive.google.com/file/d/1CxHINAnd0jSBd5QuU5_82_sKCJAVXu9r/view" TargetMode="External"/><Relationship Id="rId76" Type="http://schemas.openxmlformats.org/officeDocument/2006/relationships/hyperlink" Target="https://drive.google.com/file/d/1SwGuppOSsaAXO29onhyWUH40O1h_4XmG/view" TargetMode="External"/><Relationship Id="rId77" Type="http://schemas.openxmlformats.org/officeDocument/2006/relationships/hyperlink" Target="https://drive.google.com/file/d/1EgGHDA3POFrFvroBTnP4I855u6ADRbJu/view" TargetMode="External"/><Relationship Id="rId78" Type="http://schemas.openxmlformats.org/officeDocument/2006/relationships/hyperlink" Target="https://drive.google.com/file/d/1SwGuppOSsaAXO29onhyWUH40O1h_4XmG/view" TargetMode="External"/><Relationship Id="rId79" Type="http://schemas.openxmlformats.org/officeDocument/2006/relationships/hyperlink" Target="https://drive.google.com/file/d/1CxHINAnd0jSBd5QuU5_82_sKCJAVXu9r/view" TargetMode="External"/><Relationship Id="rId80" Type="http://schemas.openxmlformats.org/officeDocument/2006/relationships/hyperlink" Target="https://drive.google.com/file/d/1CxHINAnd0jSBd5QuU5_82_sKCJAVXu9r/view" TargetMode="External"/><Relationship Id="rId81" Type="http://schemas.openxmlformats.org/officeDocument/2006/relationships/hyperlink" Target="https://drive.google.com/file/d/1CxHINAnd0jSBd5QuU5_82_sKCJAVXu9r/view" TargetMode="External"/><Relationship Id="rId82" Type="http://schemas.openxmlformats.org/officeDocument/2006/relationships/hyperlink" Target="https://drive.google.com/file/d/1CxHINAnd0jSBd5QuU5_82_sKCJAVXu9r/view" TargetMode="External"/><Relationship Id="rId83" Type="http://schemas.openxmlformats.org/officeDocument/2006/relationships/hyperlink" Target="https://drive.google.com/file/d/1SwGuppOSsaAXO29onhyWUH40O1h_4XmG/view" TargetMode="External"/><Relationship Id="rId84" Type="http://schemas.openxmlformats.org/officeDocument/2006/relationships/hyperlink" Target="https://drive.google.com/file/d/1xN6cXKY00nOszWwFanDEHzmIV3x-bABC/view" TargetMode="External"/><Relationship Id="rId85" Type="http://schemas.openxmlformats.org/officeDocument/2006/relationships/hyperlink" Target="https://drive.google.com/file/d/1SwGuppOSsaAXO29onhyWUH40O1h_4XmG/view" TargetMode="External"/><Relationship Id="rId86" Type="http://schemas.openxmlformats.org/officeDocument/2006/relationships/hyperlink" Target="https://drive.google.com/file/d/1CxHINAnd0jSBd5QuU5_82_sKCJAVXu9r/view" TargetMode="External"/><Relationship Id="rId87" Type="http://schemas.openxmlformats.org/officeDocument/2006/relationships/hyperlink" Target="https://drive.google.com/file/d/1CxHINAnd0jSBd5QuU5_82_sKCJAVXu9r/view" TargetMode="External"/><Relationship Id="rId88" Type="http://schemas.openxmlformats.org/officeDocument/2006/relationships/hyperlink" Target="https://drive.google.com/file/d/1CxHINAnd0jSBd5QuU5_82_sKCJAVXu9r/view" TargetMode="External"/><Relationship Id="rId89" Type="http://schemas.openxmlformats.org/officeDocument/2006/relationships/hyperlink" Target="https://drive.google.com/file/d/1CxHINAnd0jSBd5QuU5_82_sKCJAVXu9r/view" TargetMode="External"/><Relationship Id="rId90" Type="http://schemas.openxmlformats.org/officeDocument/2006/relationships/hyperlink" Target="https://drive.google.com/file/d/1SwGuppOSsaAXO29onhyWUH40O1h_4XmG/view" TargetMode="External"/><Relationship Id="rId91" Type="http://schemas.openxmlformats.org/officeDocument/2006/relationships/hyperlink" Target="https://drive.google.com/file/d/1SwGuppOSsaAXO29onhyWUH40O1h_4XmG/view" TargetMode="External"/><Relationship Id="rId92" Type="http://schemas.openxmlformats.org/officeDocument/2006/relationships/hyperlink" Target="https://drive.google.com/file/d/1CxHINAnd0jSBd5QuU5_82_sKCJAVXu9r/view" TargetMode="External"/><Relationship Id="rId93" Type="http://schemas.openxmlformats.org/officeDocument/2006/relationships/hyperlink" Target="https://drive.google.com/file/d/1CxHINAnd0jSBd5QuU5_82_sKCJAVXu9r/view" TargetMode="External"/><Relationship Id="rId94" Type="http://schemas.openxmlformats.org/officeDocument/2006/relationships/hyperlink" Target="https://drive.google.com/file/d/1CxHINAnd0jSBd5QuU5_82_sKCJAVXu9r/view" TargetMode="External"/><Relationship Id="rId95" Type="http://schemas.openxmlformats.org/officeDocument/2006/relationships/hyperlink" Target="https://drive.google.com/file/d/1CxHINAnd0jSBd5QuU5_82_sKCJAVXu9r/view" TargetMode="External"/><Relationship Id="rId96" Type="http://schemas.openxmlformats.org/officeDocument/2006/relationships/hyperlink" Target="https://drive.google.com/file/d/1SwGuppOSsaAXO29onhyWUH40O1h_4XmG/view" TargetMode="External"/><Relationship Id="rId97" Type="http://schemas.openxmlformats.org/officeDocument/2006/relationships/hyperlink" Target="https://drive.google.com/file/d/1xN6cXKY00nOszWwFanDEHzmIV3x-bABC/view" TargetMode="External"/><Relationship Id="rId98" Type="http://schemas.openxmlformats.org/officeDocument/2006/relationships/hyperlink" Target="https://drive.google.com/file/d/1SwGuppOSsaAXO29onhyWUH40O1h_4XmG/view" TargetMode="External"/><Relationship Id="rId99" Type="http://schemas.openxmlformats.org/officeDocument/2006/relationships/hyperlink" Target="https://drive.google.com/file/d/1CxHINAnd0jSBd5QuU5_82_sKCJAVXu9r/view" TargetMode="External"/><Relationship Id="rId100" Type="http://schemas.openxmlformats.org/officeDocument/2006/relationships/hyperlink" Target="https://drive.google.com/file/d/1CxHINAnd0jSBd5QuU5_82_sKCJAVXu9r/view" TargetMode="External"/><Relationship Id="rId101" Type="http://schemas.openxmlformats.org/officeDocument/2006/relationships/hyperlink" Target="https://drive.google.com/file/d/1CxHINAnd0jSBd5QuU5_82_sKCJAVXu9r/view" TargetMode="External"/><Relationship Id="rId102" Type="http://schemas.openxmlformats.org/officeDocument/2006/relationships/hyperlink" Target="https://drive.google.com/file/d/1CxHINAnd0jSBd5QuU5_82_sKCJAVXu9r/view" TargetMode="External"/><Relationship Id="rId103" Type="http://schemas.openxmlformats.org/officeDocument/2006/relationships/hyperlink" Target="https://drive.google.com/file/d/1SwGuppOSsaAXO29onhyWUH40O1h_4XmG/view" TargetMode="External"/><Relationship Id="rId104" Type="http://schemas.openxmlformats.org/officeDocument/2006/relationships/hyperlink" Target="https://drive.google.com/file/d/1SwGuppOSsaAXO29onhyWUH40O1h_4XmG/view" TargetMode="External"/><Relationship Id="rId105" Type="http://schemas.openxmlformats.org/officeDocument/2006/relationships/hyperlink" Target="https://drive.google.com/file/d/1CxHINAnd0jSBd5QuU5_82_sKCJAVXu9r/view" TargetMode="External"/><Relationship Id="rId106" Type="http://schemas.openxmlformats.org/officeDocument/2006/relationships/hyperlink" Target="https://drive.google.com/file/d/1CxHINAnd0jSBd5QuU5_82_sKCJAVXu9r/view" TargetMode="External"/><Relationship Id="rId107" Type="http://schemas.openxmlformats.org/officeDocument/2006/relationships/hyperlink" Target="https://drive.google.com/file/d/1CxHINAnd0jSBd5QuU5_82_sKCJAVXu9r/view" TargetMode="External"/><Relationship Id="rId108" Type="http://schemas.openxmlformats.org/officeDocument/2006/relationships/hyperlink" Target="https://drive.google.com/file/d/1SwGuppOSsaAXO29onhyWUH40O1h_4XmG/view" TargetMode="External"/><Relationship Id="rId109" Type="http://schemas.openxmlformats.org/officeDocument/2006/relationships/hyperlink" Target="https://drive.google.com/file/d/1WEVAv6MnsB0PGj5eDDb08PFQzJeXyT88/view" TargetMode="External"/><Relationship Id="rId110" Type="http://schemas.openxmlformats.org/officeDocument/2006/relationships/hyperlink" Target="https://drive.google.com/file/d/1WEVAv6MnsB0PGj5eDDb08PFQzJeXyT88/view" TargetMode="External"/><Relationship Id="rId111" Type="http://schemas.openxmlformats.org/officeDocument/2006/relationships/hyperlink" Target="https://drive.google.com/file/d/1SwGuppOSsaAXO29onhyWUH40O1h_4XmG/view" TargetMode="External"/><Relationship Id="rId112" Type="http://schemas.openxmlformats.org/officeDocument/2006/relationships/hyperlink" Target="https://drive.google.com/file/d/1CxHINAnd0jSBd5QuU5_82_sKCJAVXu9r/view" TargetMode="External"/><Relationship Id="rId113" Type="http://schemas.openxmlformats.org/officeDocument/2006/relationships/hyperlink" Target="https://drive.google.com/file/d/1CxHINAnd0jSBd5QuU5_82_sKCJAVXu9r/view"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drive.google.com/file/d/1SwGuppOSsaAXO29onhyWUH40O1h_4XmG/view" TargetMode="External"/><Relationship Id="rId2" Type="http://schemas.openxmlformats.org/officeDocument/2006/relationships/hyperlink" Target="https://www.goldsupplier.com/provide/p106252607.html" TargetMode="External"/><Relationship Id="rId3" Type="http://schemas.openxmlformats.org/officeDocument/2006/relationships/hyperlink" Target="https://drive.google.com/file/d/1SwGuppOSsaAXO29onhyWUH40O1h_4XmG/view" TargetMode="External"/><Relationship Id="rId4" Type="http://schemas.openxmlformats.org/officeDocument/2006/relationships/hyperlink" Target="https://drive.google.com/file/d/1CxHINAnd0jSBd5QuU5_82_sKCJAVXu9r/view" TargetMode="External"/><Relationship Id="rId5" Type="http://schemas.openxmlformats.org/officeDocument/2006/relationships/hyperlink" Target="https://drive.google.com/file/d/1SwGuppOSsaAXO29onhyWUH40O1h_4XmG/view" TargetMode="External"/><Relationship Id="rId6" Type="http://schemas.openxmlformats.org/officeDocument/2006/relationships/hyperlink" Target="https://westermans.com/proarc-tr-0100-welding-rotators-1-ton-single-phase.aspx" TargetMode="External"/><Relationship Id="rId7" Type="http://schemas.openxmlformats.org/officeDocument/2006/relationships/hyperlink" Target="https://drive.google.com/file/d/1SwGuppOSsaAXO29onhyWUH40O1h_4XmG/view" TargetMode="External"/><Relationship Id="rId8" Type="http://schemas.openxmlformats.org/officeDocument/2006/relationships/hyperlink" Target="https://westermans.com/proarc-tr-0100-welding-rotators-1-ton-single-phase.aspx" TargetMode="External"/><Relationship Id="rId9" Type="http://schemas.openxmlformats.org/officeDocument/2006/relationships/hyperlink" Target="https://drive.google.com/file/d/1SwGuppOSsaAXO29onhyWUH40O1h_4XmG/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SwGuppOSsaAXO29onhyWUH40O1h_4XmG/view" TargetMode="External"/><Relationship Id="rId12" Type="http://schemas.openxmlformats.org/officeDocument/2006/relationships/hyperlink" Target="https://drive.google.com/file/d/1l8M5M-2Xjh6rpiypYBHoqaVkF-1-1pfM/view" TargetMode="External"/><Relationship Id="rId13" Type="http://schemas.openxmlformats.org/officeDocument/2006/relationships/hyperlink" Target="https://drive.google.com/file/d/1SwGuppOSsaAXO29onhyWUH40O1h_4XmG/view" TargetMode="External"/><Relationship Id="rId14" Type="http://schemas.openxmlformats.org/officeDocument/2006/relationships/hyperlink" Target="https://drive.google.com/file/d/1l8M5M-2Xjh6rpiypYBHoqaVkF-1-1pfM/view" TargetMode="External"/><Relationship Id="rId15" Type="http://schemas.openxmlformats.org/officeDocument/2006/relationships/hyperlink" Target="https://drive.google.com/file/d/1SwGuppOSsaAXO29onhyWUH40O1h_4XmG/view" TargetMode="External"/><Relationship Id="rId16" Type="http://schemas.openxmlformats.org/officeDocument/2006/relationships/hyperlink" Target="https://drive.google.com/file/d/1SwGuppOSsaAXO29onhyWUH40O1h_4XmG/view" TargetMode="External"/><Relationship Id="rId17" Type="http://schemas.openxmlformats.org/officeDocument/2006/relationships/hyperlink" Target="https://drive.google.com/file/d/1SwGuppOSsaAXO29onhyWUH40O1h_4XmG/view" TargetMode="External"/><Relationship Id="rId18" Type="http://schemas.openxmlformats.org/officeDocument/2006/relationships/hyperlink" Target="https://drive.google.com/file/d/1CxHINAnd0jSBd5QuU5_82_sKCJAVXu9r/view" TargetMode="External"/><Relationship Id="rId19" Type="http://schemas.openxmlformats.org/officeDocument/2006/relationships/hyperlink" Target="https://drive.google.com/file/d/1SwGuppOSsaAXO29onhyWUH40O1h_4XmG/view" TargetMode="External"/><Relationship Id="rId20" Type="http://schemas.openxmlformats.org/officeDocument/2006/relationships/hyperlink" Target="https://westermans.com/proarc-tr-0100-welding-rotators-1-ton-single-phase.aspx" TargetMode="External"/><Relationship Id="rId21" Type="http://schemas.openxmlformats.org/officeDocument/2006/relationships/hyperlink" Target="https://drive.google.com/file/d/1SwGuppOSsaAXO29onhyWUH40O1h_4XmG/view" TargetMode="External"/><Relationship Id="rId22" Type="http://schemas.openxmlformats.org/officeDocument/2006/relationships/hyperlink" Target="https://westermans.com/proarc-tr-0100-welding-rotators-1-ton-single-phase.aspx" TargetMode="External"/><Relationship Id="rId23" Type="http://schemas.openxmlformats.org/officeDocument/2006/relationships/hyperlink" Target="https://drive.google.com/file/d/1SwGuppOSsaAXO29onhyWUH40O1h_4XmG/view" TargetMode="External"/><Relationship Id="rId24" Type="http://schemas.openxmlformats.org/officeDocument/2006/relationships/hyperlink" Target="https://drive.google.com/file/d/1CxHINAnd0jSBd5QuU5_82_sKCJAVXu9r/view" TargetMode="External"/><Relationship Id="rId25" Type="http://schemas.openxmlformats.org/officeDocument/2006/relationships/hyperlink" Target="https://drive.google.com/file/d/1SwGuppOSsaAXO29onhyWUH40O1h_4XmG/view" TargetMode="External"/><Relationship Id="rId26" Type="http://schemas.openxmlformats.org/officeDocument/2006/relationships/hyperlink" Target="https://westermans.com/proarc-tr-0100-welding-rotators-1-ton-single-phase.aspx" TargetMode="External"/><Relationship Id="rId27" Type="http://schemas.openxmlformats.org/officeDocument/2006/relationships/hyperlink" Target="https://drive.google.com/file/d/1SwGuppOSsaAXO29onhyWUH40O1h_4XmG/view" TargetMode="External"/><Relationship Id="rId28" Type="http://schemas.openxmlformats.org/officeDocument/2006/relationships/hyperlink" Target="https://westermans.com/proarc-tr-0100-welding-rotators-1-ton-single-phase.aspx" TargetMode="External"/><Relationship Id="rId29" Type="http://schemas.openxmlformats.org/officeDocument/2006/relationships/hyperlink" Target="https://drive.google.com/file/d/1SwGuppOSsaAXO29onhyWUH40O1h_4XmG/view" TargetMode="External"/><Relationship Id="rId30" Type="http://schemas.openxmlformats.org/officeDocument/2006/relationships/hyperlink" Target="https://drive.google.com/file/d/1CxHINAnd0jSBd5QuU5_82_sKCJAVXu9r/view" TargetMode="External"/><Relationship Id="rId31" Type="http://schemas.openxmlformats.org/officeDocument/2006/relationships/hyperlink" Target="https://drive.google.com/file/d/1SwGuppOSsaAXO29onhyWUH40O1h_4XmG/view" TargetMode="External"/><Relationship Id="rId32" Type="http://schemas.openxmlformats.org/officeDocument/2006/relationships/hyperlink" Target="https://drive.google.com/file/d/1SwGuppOSsaAXO29onhyWUH40O1h_4XmG/view" TargetMode="External"/><Relationship Id="rId33" Type="http://schemas.openxmlformats.org/officeDocument/2006/relationships/hyperlink" Target="https://drive.google.com/file/d/1SwGuppOSsaAXO29onhyWUH40O1h_4XmG/view" TargetMode="External"/><Relationship Id="rId34" Type="http://schemas.openxmlformats.org/officeDocument/2006/relationships/hyperlink" Target="https://drive.google.com/file/d/1CxHINAnd0jSBd5QuU5_82_sKCJAVXu9r/view" TargetMode="External"/><Relationship Id="rId35" Type="http://schemas.openxmlformats.org/officeDocument/2006/relationships/hyperlink" Target="https://drive.google.com/file/d/1SwGuppOSsaAXO29onhyWUH40O1h_4XmG/view" TargetMode="External"/><Relationship Id="rId36" Type="http://schemas.openxmlformats.org/officeDocument/2006/relationships/hyperlink" Target="https://drive.google.com/file/d/1CxHINAnd0jSBd5QuU5_82_sKCJAVXu9r/view" TargetMode="External"/><Relationship Id="rId37" Type="http://schemas.openxmlformats.org/officeDocument/2006/relationships/hyperlink" Target="https://drive.google.com/file/d/1SwGuppOSsaAXO29onhyWUH40O1h_4XmG/view" TargetMode="External"/><Relationship Id="rId38" Type="http://schemas.openxmlformats.org/officeDocument/2006/relationships/hyperlink" Target="https://drive.google.com/file/d/1EgGHDA3POFrFvroBTnP4I855u6ADRbJu/view" TargetMode="External"/><Relationship Id="rId39" Type="http://schemas.openxmlformats.org/officeDocument/2006/relationships/hyperlink" Target="https://drive.google.com/file/d/1SwGuppOSsaAXO29onhyWUH40O1h_4XmG/view" TargetMode="External"/><Relationship Id="rId40" Type="http://schemas.openxmlformats.org/officeDocument/2006/relationships/hyperlink" Target="https://drive.google.com/file/d/1SwGuppOSsaAXO29onhyWUH40O1h_4XmG/view" TargetMode="External"/><Relationship Id="rId41" Type="http://schemas.openxmlformats.org/officeDocument/2006/relationships/hyperlink" Target="https://drive.google.com/file/d/1SwGuppOSsaAXO29onhyWUH40O1h_4XmG/view" TargetMode="External"/><Relationship Id="rId42" Type="http://schemas.openxmlformats.org/officeDocument/2006/relationships/hyperlink" Target="https://drive.google.com/file/d/1SwGuppOSsaAXO29onhyWUH40O1h_4XmG/view" TargetMode="External"/><Relationship Id="rId43" Type="http://schemas.openxmlformats.org/officeDocument/2006/relationships/hyperlink" Target="https://drive.google.com/file/d/1SwGuppOSsaAXO29onhyWUH40O1h_4XmG/view"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rive.google.com/file/d/1SwGuppOSsaAXO29onhyWUH40O1h_4XmG/view" TargetMode="External"/><Relationship Id="rId2" Type="http://schemas.openxmlformats.org/officeDocument/2006/relationships/hyperlink" Target="https://drive.google.com/file/d/1SwGuppOSsaAXO29onhyWUH40O1h_4XmG/view" TargetMode="External"/><Relationship Id="rId3" Type="http://schemas.openxmlformats.org/officeDocument/2006/relationships/hyperlink" Target="https://drive.google.com/file/d/1SwGuppOSsaAXO29onhyWUH40O1h_4XmG/view" TargetMode="External"/><Relationship Id="rId4" Type="http://schemas.openxmlformats.org/officeDocument/2006/relationships/hyperlink" Target="https://drive.google.com/file/d/1SwGuppOSsaAXO29onhyWUH40O1h_4XmG/view" TargetMode="External"/><Relationship Id="rId5" Type="http://schemas.openxmlformats.org/officeDocument/2006/relationships/hyperlink" Target="https://drive.google.com/file/d/1SwGuppOSsaAXO29onhyWUH40O1h_4XmG/view" TargetMode="External"/><Relationship Id="rId6" Type="http://schemas.openxmlformats.org/officeDocument/2006/relationships/hyperlink" Target="https://drive.google.com/file/d/1SwGuppOSsaAXO29onhyWUH40O1h_4XmG/view" TargetMode="External"/><Relationship Id="rId7" Type="http://schemas.openxmlformats.org/officeDocument/2006/relationships/hyperlink" Target="https://drive.google.com/file/d/1SwGuppOSsaAXO29onhyWUH40O1h_4XmG/view" TargetMode="External"/><Relationship Id="rId8" Type="http://schemas.openxmlformats.org/officeDocument/2006/relationships/hyperlink" Target="https://drive.google.com/file/d/1SwGuppOSsaAXO29onhyWUH40O1h_4XmG/view" TargetMode="External"/><Relationship Id="rId9" Type="http://schemas.openxmlformats.org/officeDocument/2006/relationships/hyperlink" Target="https://drive.google.com/file/d/1SwGuppOSsaAXO29onhyWUH40O1h_4XmG/view" TargetMode="External"/><Relationship Id="rId10" Type="http://schemas.openxmlformats.org/officeDocument/2006/relationships/hyperlink" Target="https://drive.google.com/file/d/1BvF9XAzfgpqw7VGH9EFjVisbBKNz9KFx/view" TargetMode="External"/><Relationship Id="rId11" Type="http://schemas.openxmlformats.org/officeDocument/2006/relationships/hyperlink" Target="https://drive.google.com/file/d/1SwGuppOSsaAXO29onhyWUH40O1h_4XmG/view" TargetMode="External"/><Relationship Id="rId12" Type="http://schemas.openxmlformats.org/officeDocument/2006/relationships/hyperlink" Target="https://drive.google.com/file/d/1SwGuppOSsaAXO29onhyWUH40O1h_4XmG/view" TargetMode="External"/><Relationship Id="rId13" Type="http://schemas.openxmlformats.org/officeDocument/2006/relationships/hyperlink" Target="https://drive.google.com/file/d/1SwGuppOSsaAXO29onhyWUH40O1h_4XmG/view" TargetMode="External"/><Relationship Id="rId14" Type="http://schemas.openxmlformats.org/officeDocument/2006/relationships/hyperlink" Target="https://drive.google.com/file/d/1SwGuppOSsaAXO29onhyWUH40O1h_4XmG/view" TargetMode="External"/><Relationship Id="rId15" Type="http://schemas.openxmlformats.org/officeDocument/2006/relationships/hyperlink" Target="https://drive.google.com/file/d/1SwGuppOSsaAXO29onhyWUH40O1h_4XmG/view" TargetMode="External"/><Relationship Id="rId16" Type="http://schemas.openxmlformats.org/officeDocument/2006/relationships/hyperlink" Target="https://drive.google.com/file/d/1SwGuppOSsaAXO29onhyWUH40O1h_4XmG/view" TargetMode="External"/><Relationship Id="rId17" Type="http://schemas.openxmlformats.org/officeDocument/2006/relationships/hyperlink" Target="https://drive.google.com/file/d/1SwGuppOSsaAXO29onhyWUH40O1h_4XmG/view" TargetMode="External"/><Relationship Id="rId18" Type="http://schemas.openxmlformats.org/officeDocument/2006/relationships/hyperlink" Target="https://drive.google.com/file/d/1SwGuppOSsaAXO29onhyWUH40O1h_4XmG/view" TargetMode="External"/><Relationship Id="rId19" Type="http://schemas.openxmlformats.org/officeDocument/2006/relationships/hyperlink" Target="https://drive.google.com/file/d/1BvF9XAzfgpqw7VGH9EFjVisbBKNz9KFx/view" TargetMode="External"/><Relationship Id="rId20" Type="http://schemas.openxmlformats.org/officeDocument/2006/relationships/hyperlink" Target="https://drive.google.com/file/d/1SwGuppOSsaAXO29onhyWUH40O1h_4XmG/view" TargetMode="External"/><Relationship Id="rId21" Type="http://schemas.openxmlformats.org/officeDocument/2006/relationships/hyperlink" Target="https://drive.google.com/file/d/1SwGuppOSsaAXO29onhyWUH40O1h_4XmG/view" TargetMode="External"/><Relationship Id="rId22" Type="http://schemas.openxmlformats.org/officeDocument/2006/relationships/hyperlink" Target="https://drive.google.com/file/d/1SwGuppOSsaAXO29onhyWUH40O1h_4XmG/view" TargetMode="External"/><Relationship Id="rId23" Type="http://schemas.openxmlformats.org/officeDocument/2006/relationships/hyperlink" Target="https://drive.google.com/file/d/1SwGuppOSsaAXO29onhyWUH40O1h_4XmG/view" TargetMode="External"/><Relationship Id="rId24" Type="http://schemas.openxmlformats.org/officeDocument/2006/relationships/hyperlink" Target="https://drive.google.com/file/d/1BvF9XAzfgpqw7VGH9EFjVisbBKNz9KFx/view" TargetMode="External"/><Relationship Id="rId25" Type="http://schemas.openxmlformats.org/officeDocument/2006/relationships/hyperlink" Target="https://drive.google.com/file/d/1SwGuppOSsaAXO29onhyWUH40O1h_4XmG/view" TargetMode="External"/><Relationship Id="rId26" Type="http://schemas.openxmlformats.org/officeDocument/2006/relationships/hyperlink" Target="https://drive.google.com/file/d/1SwGuppOSsaAXO29onhyWUH40O1h_4XmG/view" TargetMode="External"/><Relationship Id="rId27" Type="http://schemas.openxmlformats.org/officeDocument/2006/relationships/hyperlink" Target="https://drive.google.com/file/d/1SwGuppOSsaAXO29onhyWUH40O1h_4XmG/view" TargetMode="External"/><Relationship Id="rId28" Type="http://schemas.openxmlformats.org/officeDocument/2006/relationships/hyperlink" Target="https://drive.google.com/file/d/1SwGuppOSsaAXO29onhyWUH40O1h_4XmG/view" TargetMode="External"/><Relationship Id="rId29" Type="http://schemas.openxmlformats.org/officeDocument/2006/relationships/hyperlink" Target="https://drive.google.com/file/d/1SwGuppOSsaAXO29onhyWUH40O1h_4XmG/view" TargetMode="External"/><Relationship Id="rId30" Type="http://schemas.openxmlformats.org/officeDocument/2006/relationships/hyperlink" Target="https://drive.google.com/file/d/1SwGuppOSsaAXO29onhyWUH40O1h_4XmG/view" TargetMode="External"/><Relationship Id="rId31" Type="http://schemas.openxmlformats.org/officeDocument/2006/relationships/hyperlink" Target="https://drive.google.com/file/d/1SwGuppOSsaAXO29onhyWUH40O1h_4XmG/view" TargetMode="External"/><Relationship Id="rId32" Type="http://schemas.openxmlformats.org/officeDocument/2006/relationships/hyperlink" Target="https://drive.google.com/file/d/1SwGuppOSsaAXO29onhyWUH40O1h_4XmG/view" TargetMode="External"/><Relationship Id="rId33" Type="http://schemas.openxmlformats.org/officeDocument/2006/relationships/hyperlink" Target="https://drive.google.com/file/d/1SwGuppOSsaAXO29onhyWUH40O1h_4XmG/view" TargetMode="External"/><Relationship Id="rId34" Type="http://schemas.openxmlformats.org/officeDocument/2006/relationships/hyperlink" Target="https://drive.google.com/file/d/1SwGuppOSsaAXO29onhyWUH40O1h_4XmG/view" TargetMode="External"/><Relationship Id="rId35" Type="http://schemas.openxmlformats.org/officeDocument/2006/relationships/hyperlink" Target="https://drive.google.com/file/d/1SwGuppOSsaAXO29onhyWUH40O1h_4XmG/view" TargetMode="External"/><Relationship Id="rId36" Type="http://schemas.openxmlformats.org/officeDocument/2006/relationships/hyperlink" Target="https://drive.google.com/file/d/1SwGuppOSsaAXO29onhyWUH40O1h_4XmG/view" TargetMode="External"/><Relationship Id="rId37" Type="http://schemas.openxmlformats.org/officeDocument/2006/relationships/hyperlink" Target="https://drive.google.com/file/d/1SwGuppOSsaAXO29onhyWUH40O1h_4XmG/view" TargetMode="External"/><Relationship Id="rId38" Type="http://schemas.openxmlformats.org/officeDocument/2006/relationships/hyperlink" Target="https://drive.google.com/file/d/1SwGuppOSsaAXO29onhyWUH40O1h_4XmG/view" TargetMode="External"/><Relationship Id="rId39" Type="http://schemas.openxmlformats.org/officeDocument/2006/relationships/hyperlink" Target="https://drive.google.com/file/d/1SwGuppOSsaAXO29onhyWUH40O1h_4XmG/view" TargetMode="External"/><Relationship Id="rId40" Type="http://schemas.openxmlformats.org/officeDocument/2006/relationships/hyperlink" Target="https://drive.google.com/file/d/1SwGuppOSsaAXO29onhyWUH40O1h_4XmG/view" TargetMode="External"/><Relationship Id="rId41" Type="http://schemas.openxmlformats.org/officeDocument/2006/relationships/hyperlink" Target="https://drive.google.com/file/d/1SwGuppOSsaAXO29onhyWUH40O1h_4XmG/view" TargetMode="External"/><Relationship Id="rId42" Type="http://schemas.openxmlformats.org/officeDocument/2006/relationships/hyperlink" Target="https://drive.google.com/file/d/1SwGuppOSsaAXO29onhyWUH40O1h_4XmG/view" TargetMode="External"/><Relationship Id="rId43" Type="http://schemas.openxmlformats.org/officeDocument/2006/relationships/hyperlink" Target="https://drive.google.com/file/d/1SwGuppOSsaAXO29onhyWUH40O1h_4XmG/view" TargetMode="External"/><Relationship Id="rId44" Type="http://schemas.openxmlformats.org/officeDocument/2006/relationships/hyperlink" Target="https://drive.google.com/file/d/1SwGuppOSsaAXO29onhyWUH40O1h_4XmG/view" TargetMode="External"/><Relationship Id="rId45" Type="http://schemas.openxmlformats.org/officeDocument/2006/relationships/hyperlink" Target="https://drive.google.com/file/d/1BvF9XAzfgpqw7VGH9EFjVisbBKNz9KFx/view" TargetMode="External"/><Relationship Id="rId46" Type="http://schemas.openxmlformats.org/officeDocument/2006/relationships/hyperlink" Target="https://drive.google.com/file/d/1SwGuppOSsaAXO29onhyWUH40O1h_4XmG/view" TargetMode="External"/><Relationship Id="rId47" Type="http://schemas.openxmlformats.org/officeDocument/2006/relationships/hyperlink" Target="https://drive.google.com/file/d/1BvF9XAzfgpqw7VGH9EFjVisbBKNz9KFx/view" TargetMode="External"/><Relationship Id="rId48" Type="http://schemas.openxmlformats.org/officeDocument/2006/relationships/hyperlink" Target="https://drive.google.com/file/d/1SwGuppOSsaAXO29onhyWUH40O1h_4XmG/view" TargetMode="External"/><Relationship Id="rId49" Type="http://schemas.openxmlformats.org/officeDocument/2006/relationships/hyperlink" Target="https://drive.google.com/file/d/1SwGuppOSsaAXO29onhyWUH40O1h_4XmG/view" TargetMode="External"/><Relationship Id="rId50" Type="http://schemas.openxmlformats.org/officeDocument/2006/relationships/hyperlink" Target="https://drive.google.com/file/d/1SwGuppOSsaAXO29onhyWUH40O1h_4XmG/view" TargetMode="External"/><Relationship Id="rId51" Type="http://schemas.openxmlformats.org/officeDocument/2006/relationships/hyperlink" Target="https://drive.google.com/file/d/1SwGuppOSsaAXO29onhyWUH40O1h_4XmG/view" TargetMode="External"/><Relationship Id="rId52" Type="http://schemas.openxmlformats.org/officeDocument/2006/relationships/hyperlink" Target="https://drive.google.com/file/d/1BvF9XAzfgpqw7VGH9EFjVisbBKNz9KFx/view" TargetMode="External"/><Relationship Id="rId53" Type="http://schemas.openxmlformats.org/officeDocument/2006/relationships/hyperlink" Target="https://drive.google.com/file/d/1SwGuppOSsaAXO29onhyWUH40O1h_4XmG/view" TargetMode="External"/><Relationship Id="rId54" Type="http://schemas.openxmlformats.org/officeDocument/2006/relationships/hyperlink" Target="https://drive.google.com/file/d/1SwGuppOSsaAXO29onhyWUH40O1h_4XmG/view" TargetMode="External"/><Relationship Id="rId55" Type="http://schemas.openxmlformats.org/officeDocument/2006/relationships/hyperlink" Target="https://drive.google.com/file/d/1SwGuppOSsaAXO29onhyWUH40O1h_4XmG/view" TargetMode="External"/><Relationship Id="rId56" Type="http://schemas.openxmlformats.org/officeDocument/2006/relationships/hyperlink" Target="https://drive.google.com/file/d/1SwGuppOSsaAXO29onhyWUH40O1h_4XmG/view" TargetMode="External"/><Relationship Id="rId57" Type="http://schemas.openxmlformats.org/officeDocument/2006/relationships/hyperlink" Target="https://drive.google.com/file/d/1SwGuppOSsaAXO29onhyWUH40O1h_4XmG/view" TargetMode="External"/><Relationship Id="rId58" Type="http://schemas.openxmlformats.org/officeDocument/2006/relationships/hyperlink" Target="https://drive.google.com/file/d/1SwGuppOSsaAXO29onhyWUH40O1h_4XmG/view" TargetMode="External"/><Relationship Id="rId59" Type="http://schemas.openxmlformats.org/officeDocument/2006/relationships/hyperlink" Target="https://drive.google.com/file/d/1SwGuppOSsaAXO29onhyWUH40O1h_4XmG/view" TargetMode="External"/><Relationship Id="rId60" Type="http://schemas.openxmlformats.org/officeDocument/2006/relationships/hyperlink" Target="https://drive.google.com/file/d/1SwGuppOSsaAXO29onhyWUH40O1h_4XmG/view" TargetMode="External"/><Relationship Id="rId61" Type="http://schemas.openxmlformats.org/officeDocument/2006/relationships/hyperlink" Target="https://drive.google.com/file/d/1SwGuppOSsaAXO29onhyWUH40O1h_4XmG/view" TargetMode="External"/><Relationship Id="rId62" Type="http://schemas.openxmlformats.org/officeDocument/2006/relationships/hyperlink" Target="https://drive.google.com/file/d/1SwGuppOSsaAXO29onhyWUH40O1h_4XmG/view" TargetMode="External"/><Relationship Id="rId63" Type="http://schemas.openxmlformats.org/officeDocument/2006/relationships/hyperlink" Target="https://drive.google.com/file/d/1SwGuppOSsaAXO29onhyWUH40O1h_4XmG/view" TargetMode="External"/><Relationship Id="rId64" Type="http://schemas.openxmlformats.org/officeDocument/2006/relationships/hyperlink" Target="https://drive.google.com/file/d/1SwGuppOSsaAXO29onhyWUH40O1h_4XmG/view" TargetMode="External"/><Relationship Id="rId65" Type="http://schemas.openxmlformats.org/officeDocument/2006/relationships/hyperlink" Target="https://drive.google.com/file/d/1EgGHDA3POFrFvroBTnP4I855u6ADRbJu/view" TargetMode="External"/><Relationship Id="rId66" Type="http://schemas.openxmlformats.org/officeDocument/2006/relationships/hyperlink" Target="https://drive.google.com/file/d/1SwGuppOSsaAXO29onhyWUH40O1h_4XmG/view" TargetMode="External"/><Relationship Id="rId67" Type="http://schemas.openxmlformats.org/officeDocument/2006/relationships/hyperlink" Target="https://drive.google.com/file/d/1SwGuppOSsaAXO29onhyWUH40O1h_4XmG/view" TargetMode="External"/><Relationship Id="rId68" Type="http://schemas.openxmlformats.org/officeDocument/2006/relationships/hyperlink" Target="https://drive.google.com/file/d/1SwGuppOSsaAXO29onhyWUH40O1h_4XmG/view" TargetMode="External"/><Relationship Id="rId69" Type="http://schemas.openxmlformats.org/officeDocument/2006/relationships/hyperlink" Target="https://drive.google.com/file/d/1SwGuppOSsaAXO29onhyWUH40O1h_4XmG/view" TargetMode="External"/><Relationship Id="rId70" Type="http://schemas.openxmlformats.org/officeDocument/2006/relationships/hyperlink" Target="https://drive.google.com/file/d/1BvF9XAzfgpqw7VGH9EFjVisbBKNz9KFx/view" TargetMode="External"/><Relationship Id="rId71" Type="http://schemas.openxmlformats.org/officeDocument/2006/relationships/hyperlink" Target="https://drive.google.com/file/d/1SwGuppOSsaAXO29onhyWUH40O1h_4XmG/view" TargetMode="External"/><Relationship Id="rId72" Type="http://schemas.openxmlformats.org/officeDocument/2006/relationships/hyperlink" Target="https://drive.google.com/file/d/1SwGuppOSsaAXO29onhyWUH40O1h_4XmG/view" TargetMode="External"/><Relationship Id="rId73" Type="http://schemas.openxmlformats.org/officeDocument/2006/relationships/hyperlink" Target="https://drive.google.com/file/d/1SwGuppOSsaAXO29onhyWUH40O1h_4XmG/view" TargetMode="External"/><Relationship Id="rId74" Type="http://schemas.openxmlformats.org/officeDocument/2006/relationships/hyperlink" Target="https://drive.google.com/file/d/1SwGuppOSsaAXO29onhyWUH40O1h_4XmG/view" TargetMode="External"/><Relationship Id="rId75" Type="http://schemas.openxmlformats.org/officeDocument/2006/relationships/hyperlink" Target="https://drive.google.com/file/d/1BvF9XAzfgpqw7VGH9EFjVisbBKNz9KFx/view" TargetMode="External"/><Relationship Id="rId76" Type="http://schemas.openxmlformats.org/officeDocument/2006/relationships/hyperlink" Target="https://drive.google.com/file/d/1SwGuppOSsaAXO29onhyWUH40O1h_4XmG/view" TargetMode="External"/><Relationship Id="rId77" Type="http://schemas.openxmlformats.org/officeDocument/2006/relationships/hyperlink" Target="https://drive.google.com/file/d/1SwGuppOSsaAXO29onhyWUH40O1h_4XmG/view" TargetMode="External"/><Relationship Id="rId78" Type="http://schemas.openxmlformats.org/officeDocument/2006/relationships/hyperlink" Target="https://drive.google.com/file/d/1SwGuppOSsaAXO29onhyWUH40O1h_4XmG/view" TargetMode="External"/><Relationship Id="rId79" Type="http://schemas.openxmlformats.org/officeDocument/2006/relationships/hyperlink" Target="https://drive.google.com/file/d/1SwGuppOSsaAXO29onhyWUH40O1h_4XmG/view" TargetMode="External"/><Relationship Id="rId80" Type="http://schemas.openxmlformats.org/officeDocument/2006/relationships/hyperlink" Target="https://drive.google.com/file/d/1SwGuppOSsaAXO29onhyWUH40O1h_4XmG/view" TargetMode="External"/><Relationship Id="rId81" Type="http://schemas.openxmlformats.org/officeDocument/2006/relationships/hyperlink" Target="https://drive.google.com/file/d/1SwGuppOSsaAXO29onhyWUH40O1h_4XmG/view" TargetMode="External"/><Relationship Id="rId82" Type="http://schemas.openxmlformats.org/officeDocument/2006/relationships/hyperlink" Target="https://drive.google.com/file/d/1SwGuppOSsaAXO29onhyWUH40O1h_4XmG/view" TargetMode="External"/><Relationship Id="rId83" Type="http://schemas.openxmlformats.org/officeDocument/2006/relationships/hyperlink" Target="https://drive.google.com/file/d/1SwGuppOSsaAXO29onhyWUH40O1h_4XmG/view" TargetMode="External"/><Relationship Id="rId84" Type="http://schemas.openxmlformats.org/officeDocument/2006/relationships/hyperlink" Target="https://drive.google.com/file/d/1SwGuppOSsaAXO29onhyWUH40O1h_4XmG/view" TargetMode="External"/><Relationship Id="rId85" Type="http://schemas.openxmlformats.org/officeDocument/2006/relationships/hyperlink" Target="https://drive.google.com/file/d/1SwGuppOSsaAXO29onhyWUH40O1h_4XmG/view" TargetMode="External"/><Relationship Id="rId86" Type="http://schemas.openxmlformats.org/officeDocument/2006/relationships/hyperlink" Target="https://drive.google.com/file/d/1SwGuppOSsaAXO29onhyWUH40O1h_4XmG/view" TargetMode="External"/><Relationship Id="rId87" Type="http://schemas.openxmlformats.org/officeDocument/2006/relationships/hyperlink" Target="https://drive.google.com/file/d/1SwGuppOSsaAXO29onhyWUH40O1h_4XmG/view" TargetMode="External"/><Relationship Id="rId88" Type="http://schemas.openxmlformats.org/officeDocument/2006/relationships/hyperlink" Target="https://drive.google.com/file/d/1xN6cXKY00nOszWwFanDEHzmIV3x-bABC/view" TargetMode="External"/><Relationship Id="rId89" Type="http://schemas.openxmlformats.org/officeDocument/2006/relationships/hyperlink" Target="https://drive.google.com/file/d/1SwGuppOSsaAXO29onhyWUH40O1h_4XmG/view" TargetMode="External"/><Relationship Id="rId90" Type="http://schemas.openxmlformats.org/officeDocument/2006/relationships/hyperlink" Target="https://drive.google.com/file/d/1SwGuppOSsaAXO29onhyWUH40O1h_4XmG/view" TargetMode="External"/><Relationship Id="rId91" Type="http://schemas.openxmlformats.org/officeDocument/2006/relationships/hyperlink" Target="https://drive.google.com/file/d/1SwGuppOSsaAXO29onhyWUH40O1h_4XmG/view" TargetMode="External"/><Relationship Id="rId92" Type="http://schemas.openxmlformats.org/officeDocument/2006/relationships/hyperlink" Target="https://drive.google.com/file/d/1SwGuppOSsaAXO29onhyWUH40O1h_4XmG/view" TargetMode="External"/><Relationship Id="rId93" Type="http://schemas.openxmlformats.org/officeDocument/2006/relationships/hyperlink" Target="https://drive.google.com/file/d/1SwGuppOSsaAXO29onhyWUH40O1h_4XmG/view" TargetMode="External"/><Relationship Id="rId94" Type="http://schemas.openxmlformats.org/officeDocument/2006/relationships/hyperlink" Target="https://drive.google.com/file/d/1SwGuppOSsaAXO29onhyWUH40O1h_4XmG/view" TargetMode="External"/><Relationship Id="rId95" Type="http://schemas.openxmlformats.org/officeDocument/2006/relationships/hyperlink" Target="https://drive.google.com/file/d/1SwGuppOSsaAXO29onhyWUH40O1h_4XmG/view" TargetMode="External"/><Relationship Id="rId96" Type="http://schemas.openxmlformats.org/officeDocument/2006/relationships/hyperlink" Target="https://drive.google.com/file/d/1SwGuppOSsaAXO29onhyWUH40O1h_4XmG/view" TargetMode="External"/><Relationship Id="rId97" Type="http://schemas.openxmlformats.org/officeDocument/2006/relationships/hyperlink" Target="https://drive.google.com/file/d/1SwGuppOSsaAXO29onhyWUH40O1h_4XmG/view" TargetMode="External"/><Relationship Id="rId98" Type="http://schemas.openxmlformats.org/officeDocument/2006/relationships/hyperlink" Target="https://drive.google.com/file/d/1SwGuppOSsaAXO29onhyWUH40O1h_4XmG/view" TargetMode="External"/><Relationship Id="rId99" Type="http://schemas.openxmlformats.org/officeDocument/2006/relationships/hyperlink" Target="https://drive.google.com/file/d/1SwGuppOSsaAXO29onhyWUH40O1h_4XmG/view" TargetMode="External"/><Relationship Id="rId100" Type="http://schemas.openxmlformats.org/officeDocument/2006/relationships/hyperlink" Target="https://drive.google.com/file/d/1SwGuppOSsaAXO29onhyWUH40O1h_4XmG/view" TargetMode="External"/><Relationship Id="rId101" Type="http://schemas.openxmlformats.org/officeDocument/2006/relationships/hyperlink" Target="https://drive.google.com/file/d/1SwGuppOSsaAXO29onhyWUH40O1h_4XmG/view" TargetMode="External"/><Relationship Id="rId102" Type="http://schemas.openxmlformats.org/officeDocument/2006/relationships/hyperlink" Target="https://drive.google.com/file/d/1SwGuppOSsaAXO29onhyWUH40O1h_4XmG/view" TargetMode="External"/><Relationship Id="rId103" Type="http://schemas.openxmlformats.org/officeDocument/2006/relationships/hyperlink" Target="https://drive.google.com/file/d/1SwGuppOSsaAXO29onhyWUH40O1h_4XmG/view" TargetMode="External"/><Relationship Id="rId104" Type="http://schemas.openxmlformats.org/officeDocument/2006/relationships/hyperlink" Target="https://drive.google.com/file/d/1SwGuppOSsaAXO29onhyWUH40O1h_4XmG/view" TargetMode="External"/><Relationship Id="rId105" Type="http://schemas.openxmlformats.org/officeDocument/2006/relationships/hyperlink" Target="https://drive.google.com/file/d/1SwGuppOSsaAXO29onhyWUH40O1h_4XmG/view" TargetMode="External"/><Relationship Id="rId106" Type="http://schemas.openxmlformats.org/officeDocument/2006/relationships/hyperlink" Target="https://drive.google.com/file/d/1SwGuppOSsaAXO29onhyWUH40O1h_4XmG/view" TargetMode="External"/><Relationship Id="rId107" Type="http://schemas.openxmlformats.org/officeDocument/2006/relationships/hyperlink" Target="https://drive.google.com/file/d/1SwGuppOSsaAXO29onhyWUH40O1h_4XmG/view"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drive.google.com/file/d/1CxHINAnd0jSBd5QuU5_82_sKCJAVXu9r/view" TargetMode="External"/><Relationship Id="rId2" Type="http://schemas.openxmlformats.org/officeDocument/2006/relationships/hyperlink" Target="https://drive.google.com/file/d/1CxHINAnd0jSBd5QuU5_82_sKCJAVXu9r/view" TargetMode="External"/><Relationship Id="rId3" Type="http://schemas.openxmlformats.org/officeDocument/2006/relationships/hyperlink" Target="https://drive.google.com/file/d/1CxHINAnd0jSBd5QuU5_82_sKCJAVXu9r/view" TargetMode="External"/><Relationship Id="rId4" Type="http://schemas.openxmlformats.org/officeDocument/2006/relationships/hyperlink" Target="https://drive.google.com/file/d/1CxHINAnd0jSBd5QuU5_82_sKCJAVXu9r/view" TargetMode="External"/><Relationship Id="rId5" Type="http://schemas.openxmlformats.org/officeDocument/2006/relationships/hyperlink" Target="https://drive.google.com/file/d/1CxHINAnd0jSBd5QuU5_82_sKCJAVXu9r/view" TargetMode="External"/><Relationship Id="rId6" Type="http://schemas.openxmlformats.org/officeDocument/2006/relationships/hyperlink" Target="https://drive.google.com/file/d/1CxHINAnd0jSBd5QuU5_82_sKCJAVXu9r/view" TargetMode="External"/><Relationship Id="rId7" Type="http://schemas.openxmlformats.org/officeDocument/2006/relationships/hyperlink" Target="https://drive.google.com/file/d/1CxHINAnd0jSBd5QuU5_82_sKCJAVXu9r/view" TargetMode="External"/><Relationship Id="rId8" Type="http://schemas.openxmlformats.org/officeDocument/2006/relationships/hyperlink" Target="https://drive.google.com/file/d/1CxHINAnd0jSBd5QuU5_82_sKCJAVXu9r/view" TargetMode="External"/><Relationship Id="rId9" Type="http://schemas.openxmlformats.org/officeDocument/2006/relationships/hyperlink" Target="https://drive.google.com/file/d/1CxHINAnd0jSBd5QuU5_82_sKCJAVXu9r/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SwGuppOSsaAXO29onhyWUH40O1h_4XmG/view" TargetMode="External"/><Relationship Id="rId12" Type="http://schemas.openxmlformats.org/officeDocument/2006/relationships/hyperlink" Target="https://drive.google.com/file/d/1SwGuppOSsaAXO29onhyWUH40O1h_4XmG/view" TargetMode="External"/><Relationship Id="rId13" Type="http://schemas.openxmlformats.org/officeDocument/2006/relationships/hyperlink" Target="https://www.exapro.com/ermak-hgs-2600-x-6-p240816233/" TargetMode="External"/><Relationship Id="rId14" Type="http://schemas.openxmlformats.org/officeDocument/2006/relationships/hyperlink" Target="https://www.exapro.com/ermak-hgs-2600-x-6-p240816233/" TargetMode="External"/><Relationship Id="rId15" Type="http://schemas.openxmlformats.org/officeDocument/2006/relationships/hyperlink" Target="https://www.exapro.com/ermak-hgs-2600-x-6-p240816233/" TargetMode="External"/><Relationship Id="rId16" Type="http://schemas.openxmlformats.org/officeDocument/2006/relationships/hyperlink" Target="https://www.goldsupplier.com/provide/p106252035.html" TargetMode="External"/><Relationship Id="rId17" Type="http://schemas.openxmlformats.org/officeDocument/2006/relationships/hyperlink" Target="https://www.goldsupplier.com/provide/p106252035.html" TargetMode="External"/><Relationship Id="rId18" Type="http://schemas.openxmlformats.org/officeDocument/2006/relationships/hyperlink" Target="https://www.goldsupplier.com/provide/p106252035.html" TargetMode="External"/><Relationship Id="rId19" Type="http://schemas.openxmlformats.org/officeDocument/2006/relationships/hyperlink" Target="https://www.exapro.com/sp/sangiacomo-t130rce-19888" TargetMode="External"/><Relationship Id="rId20" Type="http://schemas.openxmlformats.org/officeDocument/2006/relationships/hyperlink" Target="https://www.exapro.com/sp/sangiacomo-t130rce-19888" TargetMode="External"/><Relationship Id="rId21" Type="http://schemas.openxmlformats.org/officeDocument/2006/relationships/hyperlink" Target="https://www.exapro.com/sp/sangiacomo-t130rce-19888" TargetMode="External"/><Relationship Id="rId22" Type="http://schemas.openxmlformats.org/officeDocument/2006/relationships/hyperlink" Target="https://www.workplace-products.co.uk/media/wysiwyg/infographics/handling-lifting/3000KG%20SINGLE%20SCISSOR%20LIFT%20TABLES.pdf" TargetMode="External"/><Relationship Id="rId23" Type="http://schemas.openxmlformats.org/officeDocument/2006/relationships/hyperlink" Target="https://www.workplace-products.co.uk/media/wysiwyg/infographics/handling-lifting/3000KG%20SINGLE%20SCISSOR%20LIFT%20TABLES.pdf" TargetMode="External"/><Relationship Id="rId24" Type="http://schemas.openxmlformats.org/officeDocument/2006/relationships/hyperlink" Target="https://www.workplace-products.co.uk/media/wysiwyg/infographics/handling-lifting/3000KG%20SINGLE%20SCISSOR%20LIFT%20TABLES.pdf" TargetMode="External"/><Relationship Id="rId25" Type="http://schemas.openxmlformats.org/officeDocument/2006/relationships/hyperlink" Target="https://drive.google.com/file/d/1vnSpthna2z5ooZpg7lA9GT3m9wSFvEh6/view" TargetMode="External"/><Relationship Id="rId26" Type="http://schemas.openxmlformats.org/officeDocument/2006/relationships/hyperlink" Target="https://drive.google.com/file/d/1vnSpthna2z5ooZpg7lA9GT3m9wSFvEh6/view" TargetMode="External"/><Relationship Id="rId27" Type="http://schemas.openxmlformats.org/officeDocument/2006/relationships/hyperlink" Target="https://drive.google.com/file/d/1vnSpthna2z5ooZpg7lA9GT3m9wSFvEh6/view" TargetMode="External"/><Relationship Id="rId28" Type="http://schemas.openxmlformats.org/officeDocument/2006/relationships/hyperlink" Target="https://drive.google.com/file/d/1vnSpthna2z5ooZpg7lA9GT3m9wSFvEh6/view" TargetMode="External"/><Relationship Id="rId29" Type="http://schemas.openxmlformats.org/officeDocument/2006/relationships/hyperlink" Target="https://drive.google.com/file/d/1vnSpthna2z5ooZpg7lA9GT3m9wSFvEh6/view" TargetMode="External"/><Relationship Id="rId30" Type="http://schemas.openxmlformats.org/officeDocument/2006/relationships/hyperlink" Target="https://drive.google.com/file/d/1vnSpthna2z5ooZpg7lA9GT3m9wSFvEh6/view" TargetMode="External"/><Relationship Id="rId31" Type="http://schemas.openxmlformats.org/officeDocument/2006/relationships/hyperlink" Target="https://drive.google.com/file/d/12VJ8POMn2I0VnGP2nnL7FZAyA2cLw37y/view" TargetMode="External"/><Relationship Id="rId32" Type="http://schemas.openxmlformats.org/officeDocument/2006/relationships/hyperlink" Target="https://drive.google.com/file/d/12VJ8POMn2I0VnGP2nnL7FZAyA2cLw37y/view" TargetMode="External"/><Relationship Id="rId33" Type="http://schemas.openxmlformats.org/officeDocument/2006/relationships/hyperlink" Target="https://drive.google.com/file/d/12VJ8POMn2I0VnGP2nnL7FZAyA2cLw37y/view" TargetMode="External"/><Relationship Id="rId34" Type="http://schemas.openxmlformats.org/officeDocument/2006/relationships/hyperlink" Target="https://drive.google.com/file/d/12VJ8POMn2I0VnGP2nnL7FZAyA2cLw37y/view" TargetMode="External"/><Relationship Id="rId35" Type="http://schemas.openxmlformats.org/officeDocument/2006/relationships/hyperlink" Target="https://drive.google.com/file/d/12VJ8POMn2I0VnGP2nnL7FZAyA2cLw37y/view" TargetMode="External"/><Relationship Id="rId36" Type="http://schemas.openxmlformats.org/officeDocument/2006/relationships/hyperlink" Target="https://drive.google.com/file/d/12VJ8POMn2I0VnGP2nnL7FZAyA2cLw37y/view" TargetMode="External"/><Relationship Id="rId37" Type="http://schemas.openxmlformats.org/officeDocument/2006/relationships/hyperlink" Target="https://china.org.ru/product/1607235162" TargetMode="External"/><Relationship Id="rId38" Type="http://schemas.openxmlformats.org/officeDocument/2006/relationships/hyperlink" Target="https://china.org.ru/product/1607235162" TargetMode="External"/><Relationship Id="rId39" Type="http://schemas.openxmlformats.org/officeDocument/2006/relationships/hyperlink" Target="https://china.org.ru/product/1607235162" TargetMode="External"/><Relationship Id="rId40" Type="http://schemas.openxmlformats.org/officeDocument/2006/relationships/hyperlink" Target="https://resale.info/en/ak-bend-akm-250-motor./No-165720938" TargetMode="External"/><Relationship Id="rId41" Type="http://schemas.openxmlformats.org/officeDocument/2006/relationships/hyperlink" Target="https://resale.info/en/ak-bend-akm-250-motor./No-165720938" TargetMode="External"/><Relationship Id="rId42" Type="http://schemas.openxmlformats.org/officeDocument/2006/relationships/hyperlink" Target="https://resale.info/en/ak-bend-akm-250-motor./No-165720938" TargetMode="External"/><Relationship Id="rId43" Type="http://schemas.openxmlformats.org/officeDocument/2006/relationships/hyperlink" Target="https://drive.google.com/file/d/1WuRcYbuJsfRRfZVtH2vvID_x4sdWeMNW/view" TargetMode="External"/><Relationship Id="rId44" Type="http://schemas.openxmlformats.org/officeDocument/2006/relationships/hyperlink" Target="https://drive.google.com/file/d/1WuRcYbuJsfRRfZVtH2vvID_x4sdWeMNW/view" TargetMode="External"/><Relationship Id="rId45" Type="http://schemas.openxmlformats.org/officeDocument/2006/relationships/hyperlink" Target="https://drive.google.com/file/d/1WuRcYbuJsfRRfZVtH2vvID_x4sdWeMNW/view" TargetMode="External"/><Relationship Id="rId46" Type="http://schemas.openxmlformats.org/officeDocument/2006/relationships/hyperlink" Target="https://drive.google.com/file/d/1cekl22rgI4pB7ik3qNjOe7DJZVNJ-voK/view" TargetMode="External"/><Relationship Id="rId47" Type="http://schemas.openxmlformats.org/officeDocument/2006/relationships/hyperlink" Target="https://drive.google.com/file/d/1cekl22rgI4pB7ik3qNjOe7DJZVNJ-voK/view" TargetMode="External"/><Relationship Id="rId48" Type="http://schemas.openxmlformats.org/officeDocument/2006/relationships/hyperlink" Target="https://drive.google.com/file/d/1cekl22rgI4pB7ik3qNjOe7DJZVNJ-voK/view" TargetMode="External"/><Relationship Id="rId49" Type="http://schemas.openxmlformats.org/officeDocument/2006/relationships/hyperlink" Target="https://drive.google.com/file/d/1cekl22rgI4pB7ik3qNjOe7DJZVNJ-voK/view" TargetMode="External"/><Relationship Id="rId50" Type="http://schemas.openxmlformats.org/officeDocument/2006/relationships/hyperlink" Target="https://drive.google.com/file/d/1cekl22rgI4pB7ik3qNjOe7DJZVNJ-voK/view" TargetMode="External"/><Relationship Id="rId51" Type="http://schemas.openxmlformats.org/officeDocument/2006/relationships/hyperlink" Target="https://drive.google.com/file/d/1cekl22rgI4pB7ik3qNjOe7DJZVNJ-voK/view" TargetMode="External"/><Relationship Id="rId52" Type="http://schemas.openxmlformats.org/officeDocument/2006/relationships/hyperlink" Target="https://drive.google.com/file/d/1cekl22rgI4pB7ik3qNjOe7DJZVNJ-voK/view" TargetMode="External"/><Relationship Id="rId53" Type="http://schemas.openxmlformats.org/officeDocument/2006/relationships/hyperlink" Target="https://drive.google.com/file/d/1cekl22rgI4pB7ik3qNjOe7DJZVNJ-voK/view" TargetMode="External"/><Relationship Id="rId54" Type="http://schemas.openxmlformats.org/officeDocument/2006/relationships/hyperlink" Target="https://drive.google.com/file/d/1EgGHDA3POFrFvroBTnP4I855u6ADRbJu/view" TargetMode="External"/><Relationship Id="rId55" Type="http://schemas.openxmlformats.org/officeDocument/2006/relationships/hyperlink" Target="https://drive.google.com/file/d/1EgGHDA3POFrFvroBTnP4I855u6ADRbJu/view" TargetMode="External"/><Relationship Id="rId56" Type="http://schemas.openxmlformats.org/officeDocument/2006/relationships/hyperlink" Target="https://drive.google.com/file/d/1EgGHDA3POFrFvroBTnP4I855u6ADRbJu/view" TargetMode="External"/><Relationship Id="rId57" Type="http://schemas.openxmlformats.org/officeDocument/2006/relationships/hyperlink" Target="https://drive.google.com/file/d/1xN6cXKY00nOszWwFanDEHzmIV3x-bABC/view" TargetMode="External"/><Relationship Id="rId58" Type="http://schemas.openxmlformats.org/officeDocument/2006/relationships/hyperlink" Target="https://drive.google.com/file/d/1xN6cXKY00nOszWwFanDEHzmIV3x-bABC/view" TargetMode="External"/><Relationship Id="rId59" Type="http://schemas.openxmlformats.org/officeDocument/2006/relationships/hyperlink" Target="https://drive.google.com/file/d/1xN6cXKY00nOszWwFanDEHzmIV3x-bABC/view" TargetMode="External"/><Relationship Id="rId60" Type="http://schemas.openxmlformats.org/officeDocument/2006/relationships/hyperlink" Target="https://drive.google.com/file/d/1xN6cXKY00nOszWwFanDEHzmIV3x-bABC/view" TargetMode="External"/><Relationship Id="rId61" Type="http://schemas.openxmlformats.org/officeDocument/2006/relationships/hyperlink" Target="https://drive.google.com/file/d/1xN6cXKY00nOszWwFanDEHzmIV3x-bABC/view" TargetMode="External"/><Relationship Id="rId62" Type="http://schemas.openxmlformats.org/officeDocument/2006/relationships/hyperlink" Target="https://drive.google.com/file/d/1xN6cXKY00nOszWwFanDEHzmIV3x-bABC/view" TargetMode="External"/><Relationship Id="rId63" Type="http://schemas.openxmlformats.org/officeDocument/2006/relationships/hyperlink" Target="https://drive.google.com/file/d/1WEVAv6MnsB0PGj5eDDb08PFQzJeXyT88/view" TargetMode="External"/><Relationship Id="rId64" Type="http://schemas.openxmlformats.org/officeDocument/2006/relationships/hyperlink" Target="https://drive.google.com/file/d/1WEVAv6MnsB0PGj5eDDb08PFQzJeXyT88/view" TargetMode="External"/><Relationship Id="rId65" Type="http://schemas.openxmlformats.org/officeDocument/2006/relationships/hyperlink" Target="https://drive.google.com/file/d/1WEVAv6MnsB0PGj5eDDb08PFQzJeXyT88/view" TargetMode="External"/><Relationship Id="rId66" Type="http://schemas.openxmlformats.org/officeDocument/2006/relationships/hyperlink" Target="https://drive.google.com/file/d/1WEVAv6MnsB0PGj5eDDb08PFQzJeXyT88/view" TargetMode="External"/><Relationship Id="rId67" Type="http://schemas.openxmlformats.org/officeDocument/2006/relationships/hyperlink" Target="https://drive.google.com/file/d/12VJ8POMn2I0VnGP2nnL7FZAyA2cLw37y/view" TargetMode="External"/><Relationship Id="rId68" Type="http://schemas.openxmlformats.org/officeDocument/2006/relationships/hyperlink" Target="https://drive.google.com/file/d/12VJ8POMn2I0VnGP2nnL7FZAyA2cLw37y/view" TargetMode="External"/><Relationship Id="rId69" Type="http://schemas.openxmlformats.org/officeDocument/2006/relationships/hyperlink" Target="https://drive.google.com/file/d/12VJ8POMn2I0VnGP2nnL7FZAyA2cLw37y/view" TargetMode="External"/><Relationship Id="rId70" Type="http://schemas.openxmlformats.org/officeDocument/2006/relationships/hyperlink" Target="https://drive.google.com/file/d/1DD4vE8sv9Qt4VWxQzgCuqXfTtXliDViB/view" TargetMode="External"/><Relationship Id="rId71" Type="http://schemas.openxmlformats.org/officeDocument/2006/relationships/hyperlink" Target="https://drive.google.com/file/d/1DD4vE8sv9Qt4VWxQzgCuqXfTtXliDViB/view" TargetMode="External"/><Relationship Id="rId72" Type="http://schemas.openxmlformats.org/officeDocument/2006/relationships/hyperlink" Target="https://drive.google.com/file/d/1DD4vE8sv9Qt4VWxQzgCuqXfTtXliDViB/view" TargetMode="External"/><Relationship Id="rId73" Type="http://schemas.openxmlformats.org/officeDocument/2006/relationships/hyperlink" Target="https://drive.google.com/file/d/1BvF9XAzfgpqw7VGH9EFjVisbBKNz9KFx/view" TargetMode="External"/><Relationship Id="rId74" Type="http://schemas.openxmlformats.org/officeDocument/2006/relationships/hyperlink" Target="https://drive.google.com/file/d/1BvF9XAzfgpqw7VGH9EFjVisbBKNz9KFx/view" TargetMode="External"/><Relationship Id="rId75" Type="http://schemas.openxmlformats.org/officeDocument/2006/relationships/hyperlink" Target="https://drive.google.com/file/d/1BvF9XAzfgpqw7VGH9EFjVisbBKNz9KFx/view" TargetMode="External"/><Relationship Id="rId76" Type="http://schemas.openxmlformats.org/officeDocument/2006/relationships/hyperlink" Target="https://www.goldsupplier.com/provide/p106252607.html" TargetMode="External"/><Relationship Id="rId77" Type="http://schemas.openxmlformats.org/officeDocument/2006/relationships/hyperlink" Target="https://www.goldsupplier.com/provide/p106252607.html" TargetMode="External"/><Relationship Id="rId78" Type="http://schemas.openxmlformats.org/officeDocument/2006/relationships/hyperlink" Target="https://www.goldsupplier.com/provide/p106252607.html" TargetMode="External"/><Relationship Id="rId79" Type="http://schemas.openxmlformats.org/officeDocument/2006/relationships/hyperlink" Target="https://westermans.com/proarc-tr-0100-welding-rotators-1-ton-single-phase.aspx" TargetMode="External"/><Relationship Id="rId80" Type="http://schemas.openxmlformats.org/officeDocument/2006/relationships/hyperlink" Target="https://westermans.com/proarc-tr-0100-welding-rotators-1-ton-single-phase.aspx" TargetMode="External"/><Relationship Id="rId81" Type="http://schemas.openxmlformats.org/officeDocument/2006/relationships/hyperlink" Target="https://westermans.com/proarc-tr-0100-welding-rotators-1-ton-single-phase.aspx" TargetMode="External"/><Relationship Id="rId82" Type="http://schemas.openxmlformats.org/officeDocument/2006/relationships/hyperlink" Target="https://westermans.com/proarc-tr-0100-welding-rotators-1-ton-single-phase.aspx" TargetMode="External"/><Relationship Id="rId83" Type="http://schemas.openxmlformats.org/officeDocument/2006/relationships/hyperlink" Target="https://westermans.com/proarc-tr-0100-welding-rotators-1-ton-single-phase.aspx" TargetMode="External"/><Relationship Id="rId84" Type="http://schemas.openxmlformats.org/officeDocument/2006/relationships/hyperlink" Target="https://westermans.com/proarc-tr-0100-welding-rotators-1-ton-single-phase.aspx" TargetMode="External"/><Relationship Id="rId85" Type="http://schemas.openxmlformats.org/officeDocument/2006/relationships/hyperlink" Target="https://drive.google.com/file/d/1l8M5M-2Xjh6rpiypYBHoqaVkF-1-1pfM/view" TargetMode="External"/><Relationship Id="rId86" Type="http://schemas.openxmlformats.org/officeDocument/2006/relationships/hyperlink" Target="https://drive.google.com/file/d/1l8M5M-2Xjh6rpiypYBHoqaVkF-1-1pfM/view" TargetMode="External"/><Relationship Id="rId87" Type="http://schemas.openxmlformats.org/officeDocument/2006/relationships/hyperlink" Target="https://drive.google.com/file/d/1l8M5M-2Xjh6rpiypYBHoqaVkF-1-1pfM/view" TargetMode="External"/><Relationship Id="rId88" Type="http://schemas.openxmlformats.org/officeDocument/2006/relationships/hyperlink" Target="https://drive.google.com/file/d/1l8M5M-2Xjh6rpiypYBHoqaVkF-1-1pfM/view" TargetMode="External"/><Relationship Id="rId89" Type="http://schemas.openxmlformats.org/officeDocument/2006/relationships/hyperlink" Target="https://drive.google.com/file/d/1l8M5M-2Xjh6rpiypYBHoqaVkF-1-1pfM/view" TargetMode="External"/><Relationship Id="rId90" Type="http://schemas.openxmlformats.org/officeDocument/2006/relationships/hyperlink" Target="https://drive.google.com/file/d/1l8M5M-2Xjh6rpiypYBHoqaVkF-1-1pfM/view" TargetMode="External"/><Relationship Id="rId91" Type="http://schemas.openxmlformats.org/officeDocument/2006/relationships/hyperlink" Target="https://drive.google.com/file/d/1BvF9XAzfgpqw7VGH9EFjVisbBKNz9KFx/view" TargetMode="External"/><Relationship Id="rId92" Type="http://schemas.openxmlformats.org/officeDocument/2006/relationships/hyperlink" Target="https://drive.google.com/file/d/1BvF9XAzfgpqw7VGH9EFjVisbBKNz9KFx/view" TargetMode="External"/><Relationship Id="rId93" Type="http://schemas.openxmlformats.org/officeDocument/2006/relationships/hyperlink" Target="https://drive.google.com/file/d/1BvF9XAzfgpqw7VGH9EFjVisbBKNz9KFx/view" TargetMode="External"/><Relationship Id="rId94" Type="http://schemas.openxmlformats.org/officeDocument/2006/relationships/hyperlink" Target="https://drive.google.com/file/d/1BvF9XAzfgpqw7VGH9EFjVisbBKNz9KFx/view" TargetMode="External"/><Relationship Id="rId95" Type="http://schemas.openxmlformats.org/officeDocument/2006/relationships/hyperlink" Target="https://drive.google.com/file/d/1BvF9XAzfgpqw7VGH9EFjVisbBKNz9KFx/view" TargetMode="External"/><Relationship Id="rId96" Type="http://schemas.openxmlformats.org/officeDocument/2006/relationships/hyperlink" Target="https://drive.google.com/file/d/1BvF9XAzfgpqw7VGH9EFjVisbBKNz9KFx/view" TargetMode="External"/><Relationship Id="rId97" Type="http://schemas.openxmlformats.org/officeDocument/2006/relationships/hyperlink" Target="https://drive.google.com/file/d/1BvF9XAzfgpqw7VGH9EFjVisbBKNz9KFx/view" TargetMode="External"/><Relationship Id="rId98" Type="http://schemas.openxmlformats.org/officeDocument/2006/relationships/hyperlink" Target="https://drive.google.com/file/d/1BvF9XAzfgpqw7VGH9EFjVisbBKNz9KFx/view" TargetMode="External"/><Relationship Id="rId99" Type="http://schemas.openxmlformats.org/officeDocument/2006/relationships/hyperlink" Target="https://drive.google.com/file/d/1BvF9XAzfgpqw7VGH9EFjVisbBKNz9KFx/view" TargetMode="External"/><Relationship Id="rId100" Type="http://schemas.openxmlformats.org/officeDocument/2006/relationships/hyperlink" Target="https://drive.google.com/file/d/1BvF9XAzfgpqw7VGH9EFjVisbBKNz9KFx/view" TargetMode="External"/><Relationship Id="rId101" Type="http://schemas.openxmlformats.org/officeDocument/2006/relationships/hyperlink" Target="https://drive.google.com/file/d/1BvF9XAzfgpqw7VGH9EFjVisbBKNz9KFx/view" TargetMode="External"/><Relationship Id="rId102" Type="http://schemas.openxmlformats.org/officeDocument/2006/relationships/hyperlink" Target="https://drive.google.com/file/d/1BvF9XAzfgpqw7VGH9EFjVisbBKNz9KFx/view" TargetMode="External"/><Relationship Id="rId103" Type="http://schemas.openxmlformats.org/officeDocument/2006/relationships/hyperlink" Target="https://drive.google.com/file/d/1BvF9XAzfgpqw7VGH9EFjVisbBKNz9KFx/view" TargetMode="External"/><Relationship Id="rId104" Type="http://schemas.openxmlformats.org/officeDocument/2006/relationships/hyperlink" Target="https://drive.google.com/file/d/1BvF9XAzfgpqw7VGH9EFjVisbBKNz9KFx/view" TargetMode="External"/><Relationship Id="rId105" Type="http://schemas.openxmlformats.org/officeDocument/2006/relationships/hyperlink" Target="https://drive.google.com/file/d/1BvF9XAzfgpqw7VGH9EFjVisbBKNz9KFx/view" TargetMode="External"/><Relationship Id="rId106" Type="http://schemas.openxmlformats.org/officeDocument/2006/relationships/hyperlink" Target="https://drive.google.com/file/d/1BvF9XAzfgpqw7VGH9EFjVisbBKNz9KFx/view" TargetMode="External"/><Relationship Id="rId107" Type="http://schemas.openxmlformats.org/officeDocument/2006/relationships/hyperlink" Target="https://drive.google.com/file/d/1BvF9XAzfgpqw7VGH9EFjVisbBKNz9KFx/view" TargetMode="External"/><Relationship Id="rId108" Type="http://schemas.openxmlformats.org/officeDocument/2006/relationships/hyperlink" Target="https://drive.google.com/file/d/1BvF9XAzfgpqw7VGH9EFjVisbBKNz9KFx/view" TargetMode="External"/><Relationship Id="rId109" Type="http://schemas.openxmlformats.org/officeDocument/2006/relationships/hyperlink" Target="https://drive.google.com/file/d/1BvF9XAzfgpqw7VGH9EFjVisbBKNz9KFx/view" TargetMode="External"/><Relationship Id="rId110" Type="http://schemas.openxmlformats.org/officeDocument/2006/relationships/hyperlink" Target="https://drive.google.com/file/d/1BvF9XAzfgpqw7VGH9EFjVisbBKNz9KFx/view" TargetMode="External"/><Relationship Id="rId111" Type="http://schemas.openxmlformats.org/officeDocument/2006/relationships/hyperlink" Target="https://drive.google.com/file/d/1BvF9XAzfgpqw7VGH9EFjVisbBKNz9KFx/view" TargetMode="External"/><Relationship Id="rId112" Type="http://schemas.openxmlformats.org/officeDocument/2006/relationships/hyperlink" Target="https://drive.google.com/file/d/1SwGuppOSsaAXO29onhyWUH40O1h_4XmG/view" TargetMode="External"/><Relationship Id="rId113" Type="http://schemas.openxmlformats.org/officeDocument/2006/relationships/hyperlink" Target="https://drive.google.com/file/d/1R3_p43lPLX9DZCkMme8r_K2Tc-CYtJ40/view" TargetMode="External"/><Relationship Id="rId114" Type="http://schemas.openxmlformats.org/officeDocument/2006/relationships/hyperlink" Target="https://drive.google.com/file/d/1R3_p43lPLX9DZCkMme8r_K2Tc-CYtJ40/view" TargetMode="External"/><Relationship Id="rId115" Type="http://schemas.openxmlformats.org/officeDocument/2006/relationships/hyperlink" Target="https://drive.google.com/file/d/1CxHINAnd0jSBd5QuU5_82_sKCJAVXu9r/view" TargetMode="External"/><Relationship Id="rId116" Type="http://schemas.openxmlformats.org/officeDocument/2006/relationships/hyperlink" Target="https://drive.google.com/file/d/1CxHINAnd0jSBd5QuU5_82_sKCJAVXu9r/view" TargetMode="External"/><Relationship Id="rId117" Type="http://schemas.openxmlformats.org/officeDocument/2006/relationships/hyperlink" Target="https://drive.google.com/file/d/1SwGuppOSsaAXO29onhyWUH40O1h_4XmG/view" TargetMode="External"/><Relationship Id="rId118" Type="http://schemas.openxmlformats.org/officeDocument/2006/relationships/hyperlink" Target="https://drive.google.com/file/d/1SwGuppOSsaAXO29onhyWUH40O1h_4XmG/view" TargetMode="External"/><Relationship Id="rId119" Type="http://schemas.openxmlformats.org/officeDocument/2006/relationships/hyperlink" Target="https://drive.google.com/file/d/1CxHINAnd0jSBd5QuU5_82_sKCJAVXu9r/view" TargetMode="External"/><Relationship Id="rId120" Type="http://schemas.openxmlformats.org/officeDocument/2006/relationships/hyperlink" Target="https://drive.google.com/file/d/1CxHINAnd0jSBd5QuU5_82_sKCJAVXu9r/view" TargetMode="External"/><Relationship Id="rId121" Type="http://schemas.openxmlformats.org/officeDocument/2006/relationships/hyperlink" Target="https://drive.google.com/file/d/1SwGuppOSsaAXO29onhyWUH40O1h_4XmG/view" TargetMode="External"/><Relationship Id="rId122" Type="http://schemas.openxmlformats.org/officeDocument/2006/relationships/hyperlink" Target="https://drive.google.com/file/d/1CxHINAnd0jSBd5QuU5_82_sKCJAVXu9r/view" TargetMode="External"/><Relationship Id="rId123" Type="http://schemas.openxmlformats.org/officeDocument/2006/relationships/hyperlink" Target="https://drive.google.com/file/d/1SwGuppOSsaAXO29onhyWUH40O1h_4XmG/view" TargetMode="External"/><Relationship Id="rId124" Type="http://schemas.openxmlformats.org/officeDocument/2006/relationships/hyperlink" Target="https://drive.google.com/file/d/1CxHINAnd0jSBd5QuU5_82_sKCJAVXu9r/view" TargetMode="External"/><Relationship Id="rId125" Type="http://schemas.openxmlformats.org/officeDocument/2006/relationships/hyperlink" Target="https://drive.google.com/file/d/1CxHINAnd0jSBd5QuU5_82_sKCJAVXu9r/view" TargetMode="External"/><Relationship Id="rId126" Type="http://schemas.openxmlformats.org/officeDocument/2006/relationships/hyperlink" Target="https://drive.google.com/file/d/1SwGuppOSsaAXO29onhyWUH40O1h_4XmG/view" TargetMode="External"/><Relationship Id="rId127" Type="http://schemas.openxmlformats.org/officeDocument/2006/relationships/hyperlink" Target="https://drive.google.com/file/d/1SwGuppOSsaAXO29onhyWUH40O1h_4XmG/view" TargetMode="External"/><Relationship Id="rId128" Type="http://schemas.openxmlformats.org/officeDocument/2006/relationships/hyperlink" Target="https://drive.google.com/file/d/1CxHINAnd0jSBd5QuU5_82_sKCJAVXu9r/view" TargetMode="External"/><Relationship Id="rId129" Type="http://schemas.openxmlformats.org/officeDocument/2006/relationships/hyperlink" Target="https://drive.google.com/file/d/1CxHINAnd0jSBd5QuU5_82_sKCJAVXu9r/view" TargetMode="External"/><Relationship Id="rId130" Type="http://schemas.openxmlformats.org/officeDocument/2006/relationships/hyperlink" Target="https://drive.google.com/file/d/1CxHINAnd0jSBd5QuU5_82_sKCJAVXu9r/view" TargetMode="External"/><Relationship Id="rId131" Type="http://schemas.openxmlformats.org/officeDocument/2006/relationships/hyperlink" Target="https://drive.google.com/file/d/1SwGuppOSsaAXO29onhyWUH40O1h_4XmG/view" TargetMode="External"/><Relationship Id="rId132" Type="http://schemas.openxmlformats.org/officeDocument/2006/relationships/hyperlink" Target="https://drive.google.com/file/d/1CxHINAnd0jSBd5QuU5_82_sKCJAVXu9r/view" TargetMode="External"/><Relationship Id="rId133" Type="http://schemas.openxmlformats.org/officeDocument/2006/relationships/hyperlink" Target="https://drive.google.com/file/d/1SwGuppOSsaAXO29onhyWUH40O1h_4XmG/view" TargetMode="External"/><Relationship Id="rId134" Type="http://schemas.openxmlformats.org/officeDocument/2006/relationships/hyperlink" Target="https://drive.google.com/file/d/1CxHINAnd0jSBd5QuU5_82_sKCJAVXu9r/view" TargetMode="External"/><Relationship Id="rId135" Type="http://schemas.openxmlformats.org/officeDocument/2006/relationships/hyperlink" Target="https://drive.google.com/file/d/1CxHINAnd0jSBd5QuU5_82_sKCJAVXu9r/view" TargetMode="External"/><Relationship Id="rId136" Type="http://schemas.openxmlformats.org/officeDocument/2006/relationships/hyperlink" Target="https://drive.google.com/file/d/1CxHINAnd0jSBd5QuU5_82_sKCJAVXu9r/view" TargetMode="External"/><Relationship Id="rId137" Type="http://schemas.openxmlformats.org/officeDocument/2006/relationships/hyperlink" Target="https://drive.google.com/file/d/1SwGuppOSsaAXO29onhyWUH40O1h_4XmG/view" TargetMode="External"/><Relationship Id="rId138" Type="http://schemas.openxmlformats.org/officeDocument/2006/relationships/hyperlink" Target="https://drive.google.com/file/d/1SwGuppOSsaAXO29onhyWUH40O1h_4XmG/view" TargetMode="External"/><Relationship Id="rId139" Type="http://schemas.openxmlformats.org/officeDocument/2006/relationships/hyperlink" Target="https://drive.google.com/file/d/1CxHINAnd0jSBd5QuU5_82_sKCJAVXu9r/view" TargetMode="External"/><Relationship Id="rId140" Type="http://schemas.openxmlformats.org/officeDocument/2006/relationships/hyperlink" Target="https://drive.google.com/file/d/1SwGuppOSsaAXO29onhyWUH40O1h_4XmG/view" TargetMode="External"/><Relationship Id="rId141" Type="http://schemas.openxmlformats.org/officeDocument/2006/relationships/hyperlink" Target="https://drive.google.com/file/d/1SwGuppOSsaAXO29onhyWUH40O1h_4XmG/view" TargetMode="External"/><Relationship Id="rId142" Type="http://schemas.openxmlformats.org/officeDocument/2006/relationships/hyperlink" Target="https://drive.google.com/file/d/1CxHINAnd0jSBd5QuU5_82_sKCJAVXu9r/view" TargetMode="External"/><Relationship Id="rId143" Type="http://schemas.openxmlformats.org/officeDocument/2006/relationships/hyperlink" Target="https://drive.google.com/file/d/1CxHINAnd0jSBd5QuU5_82_sKCJAVXu9r/view" TargetMode="External"/><Relationship Id="rId144" Type="http://schemas.openxmlformats.org/officeDocument/2006/relationships/hyperlink" Target="https://drive.google.com/file/d/1CxHINAnd0jSBd5QuU5_82_sKCJAVXu9r/view" TargetMode="External"/><Relationship Id="rId145" Type="http://schemas.openxmlformats.org/officeDocument/2006/relationships/hyperlink" Target="https://drive.google.com/file/d/1SwGuppOSsaAXO29onhyWUH40O1h_4XmG/view" TargetMode="External"/><Relationship Id="rId146" Type="http://schemas.openxmlformats.org/officeDocument/2006/relationships/hyperlink" Target="https://drive.google.com/file/d/1CxHINAnd0jSBd5QuU5_82_sKCJAVXu9r/view" TargetMode="External"/><Relationship Id="rId147" Type="http://schemas.openxmlformats.org/officeDocument/2006/relationships/hyperlink" Target="https://drive.google.com/file/d/1CxHINAnd0jSBd5QuU5_82_sKCJAVXu9r/view" TargetMode="External"/><Relationship Id="rId148" Type="http://schemas.openxmlformats.org/officeDocument/2006/relationships/hyperlink" Target="https://drive.google.com/file/d/1SwGuppOSsaAXO29onhyWUH40O1h_4XmG/view" TargetMode="External"/><Relationship Id="rId149" Type="http://schemas.openxmlformats.org/officeDocument/2006/relationships/hyperlink" Target="https://drive.google.com/file/d/1CxHINAnd0jSBd5QuU5_82_sKCJAVXu9r/view" TargetMode="External"/><Relationship Id="rId150" Type="http://schemas.openxmlformats.org/officeDocument/2006/relationships/hyperlink" Target="https://drive.google.com/file/d/1CxHINAnd0jSBd5QuU5_82_sKCJAVXu9r/view" TargetMode="External"/><Relationship Id="rId151" Type="http://schemas.openxmlformats.org/officeDocument/2006/relationships/hyperlink" Target="https://drive.google.com/file/d/1SwGuppOSsaAXO29onhyWUH40O1h_4XmG/view" TargetMode="External"/><Relationship Id="rId152" Type="http://schemas.openxmlformats.org/officeDocument/2006/relationships/hyperlink" Target="https://drive.google.com/file/d/1CxHINAnd0jSBd5QuU5_82_sKCJAVXu9r/view" TargetMode="External"/><Relationship Id="rId153" Type="http://schemas.openxmlformats.org/officeDocument/2006/relationships/hyperlink" Target="https://drive.google.com/file/d/1CxHINAnd0jSBd5QuU5_82_sKCJAVXu9r/view" TargetMode="External"/><Relationship Id="rId154" Type="http://schemas.openxmlformats.org/officeDocument/2006/relationships/hyperlink" Target="https://drive.google.com/file/d/1SwGuppOSsaAXO29onhyWUH40O1h_4XmG/view" TargetMode="External"/><Relationship Id="rId155" Type="http://schemas.openxmlformats.org/officeDocument/2006/relationships/hyperlink" Target="https://drive.google.com/file/d/1CxHINAnd0jSBd5QuU5_82_sKCJAVXu9r/view" TargetMode="External"/><Relationship Id="rId156" Type="http://schemas.openxmlformats.org/officeDocument/2006/relationships/hyperlink" Target="https://drive.google.com/file/d/1CxHINAnd0jSBd5QuU5_82_sKCJAVXu9r/view" TargetMode="External"/><Relationship Id="rId157" Type="http://schemas.openxmlformats.org/officeDocument/2006/relationships/hyperlink" Target="https://drive.google.com/file/d/1SwGuppOSsaAXO29onhyWUH40O1h_4XmG/view" TargetMode="External"/><Relationship Id="rId158" Type="http://schemas.openxmlformats.org/officeDocument/2006/relationships/hyperlink" Target="https://drive.google.com/file/d/1CxHINAnd0jSBd5QuU5_82_sKCJAVXu9r/view" TargetMode="External"/><Relationship Id="rId159" Type="http://schemas.openxmlformats.org/officeDocument/2006/relationships/hyperlink" Target="https://drive.google.com/file/d/1CxHINAnd0jSBd5QuU5_82_sKCJAVXu9r/view" TargetMode="External"/><Relationship Id="rId160" Type="http://schemas.openxmlformats.org/officeDocument/2006/relationships/hyperlink" Target="https://drive.google.com/file/d/1SwGuppOSsaAXO29onhyWUH40O1h_4XmG/view" TargetMode="External"/><Relationship Id="rId161" Type="http://schemas.openxmlformats.org/officeDocument/2006/relationships/hyperlink" Target="https://drive.google.com/file/d/1CxHINAnd0jSBd5QuU5_82_sKCJAVXu9r/view" TargetMode="External"/><Relationship Id="rId162" Type="http://schemas.openxmlformats.org/officeDocument/2006/relationships/hyperlink" Target="https://drive.google.com/file/d/1SwGuppOSsaAXO29onhyWUH40O1h_4XmG/view" TargetMode="External"/><Relationship Id="rId163" Type="http://schemas.openxmlformats.org/officeDocument/2006/relationships/hyperlink" Target="https://drive.google.com/file/d/1SwGuppOSsaAXO29onhyWUH40O1h_4XmG/view" TargetMode="External"/><Relationship Id="rId164" Type="http://schemas.openxmlformats.org/officeDocument/2006/relationships/hyperlink" Target="https://drive.google.com/file/d/1SwGuppOSsaAXO29onhyWUH40O1h_4XmG/view" TargetMode="External"/><Relationship Id="rId165" Type="http://schemas.openxmlformats.org/officeDocument/2006/relationships/hyperlink" Target="https://drive.google.com/file/d/1SwGuppOSsaAXO29onhyWUH40O1h_4XmG/view" TargetMode="External"/><Relationship Id="rId166" Type="http://schemas.openxmlformats.org/officeDocument/2006/relationships/hyperlink" Target="https://drive.google.com/file/d/1CxHINAnd0jSBd5QuU5_82_sKCJAVXu9r/view" TargetMode="External"/><Relationship Id="rId167" Type="http://schemas.openxmlformats.org/officeDocument/2006/relationships/hyperlink" Target="https://drive.google.com/file/d/1R3_p43lPLX9DZCkMme8r_K2Tc-CYtJ40/view" TargetMode="External"/><Relationship Id="rId168" Type="http://schemas.openxmlformats.org/officeDocument/2006/relationships/hyperlink" Target="https://drive.google.com/file/d/1CxHINAnd0jSBd5QuU5_82_sKCJAVXu9r/view" TargetMode="External"/><Relationship Id="rId169" Type="http://schemas.openxmlformats.org/officeDocument/2006/relationships/hyperlink" Target="https://drive.google.com/file/d/1SwGuppOSsaAXO29onhyWUH40O1h_4XmG/view" TargetMode="External"/><Relationship Id="rId170" Type="http://schemas.openxmlformats.org/officeDocument/2006/relationships/hyperlink" Target="https://drive.google.com/file/d/1CxHINAnd0jSBd5QuU5_82_sKCJAVXu9r/view" TargetMode="External"/><Relationship Id="rId171" Type="http://schemas.openxmlformats.org/officeDocument/2006/relationships/hyperlink" Target="https://drive.google.com/file/d/1SwGuppOSsaAXO29onhyWUH40O1h_4XmG/view" TargetMode="External"/><Relationship Id="rId172" Type="http://schemas.openxmlformats.org/officeDocument/2006/relationships/hyperlink" Target="https://drive.google.com/file/d/1SwGuppOSsaAXO29onhyWUH40O1h_4XmG/view" TargetMode="External"/><Relationship Id="rId173" Type="http://schemas.openxmlformats.org/officeDocument/2006/relationships/hyperlink" Target="https://drive.google.com/file/d/1CxHINAnd0jSBd5QuU5_82_sKCJAVXu9r/view" TargetMode="External"/><Relationship Id="rId174" Type="http://schemas.openxmlformats.org/officeDocument/2006/relationships/hyperlink" Target="https://drive.google.com/file/d/1SwGuppOSsaAXO29onhyWUH40O1h_4XmG/view" TargetMode="External"/><Relationship Id="rId175" Type="http://schemas.openxmlformats.org/officeDocument/2006/relationships/hyperlink" Target="https://drive.google.com/file/d/1SwGuppOSsaAXO29onhyWUH40O1h_4XmG/view" TargetMode="External"/><Relationship Id="rId176" Type="http://schemas.openxmlformats.org/officeDocument/2006/relationships/hyperlink" Target="https://drive.google.com/file/d/1CxHINAnd0jSBd5QuU5_82_sKCJAVXu9r/view" TargetMode="External"/><Relationship Id="rId177" Type="http://schemas.openxmlformats.org/officeDocument/2006/relationships/hyperlink" Target="https://drive.google.com/file/d/1SwGuppOSsaAXO29onhyWUH40O1h_4XmG/view" TargetMode="External"/><Relationship Id="rId178" Type="http://schemas.openxmlformats.org/officeDocument/2006/relationships/hyperlink" Target="https://drive.google.com/file/d/1R3_p43lPLX9DZCkMme8r_K2Tc-CYtJ40/view" TargetMode="External"/><Relationship Id="rId179" Type="http://schemas.openxmlformats.org/officeDocument/2006/relationships/hyperlink" Target="https://drive.google.com/file/d/1CxHINAnd0jSBd5QuU5_82_sKCJAVXu9r/view" TargetMode="External"/><Relationship Id="rId180" Type="http://schemas.openxmlformats.org/officeDocument/2006/relationships/hyperlink" Target="https://drive.google.com/file/d/1SwGuppOSsaAXO29onhyWUH40O1h_4XmG/view" TargetMode="External"/><Relationship Id="rId181" Type="http://schemas.openxmlformats.org/officeDocument/2006/relationships/hyperlink" Target="https://drive.google.com/file/d/1CxHINAnd0jSBd5QuU5_82_sKCJAVXu9r/view" TargetMode="External"/><Relationship Id="rId182" Type="http://schemas.openxmlformats.org/officeDocument/2006/relationships/hyperlink" Target="https://drive.google.com/file/d/1SwGuppOSsaAXO29onhyWUH40O1h_4XmG/view" TargetMode="External"/><Relationship Id="rId183" Type="http://schemas.openxmlformats.org/officeDocument/2006/relationships/hyperlink" Target="https://drive.google.com/file/d/1SwGuppOSsaAXO29onhyWUH40O1h_4XmG/view" TargetMode="External"/><Relationship Id="rId184" Type="http://schemas.openxmlformats.org/officeDocument/2006/relationships/hyperlink" Target="https://drive.google.com/file/d/1CxHINAnd0jSBd5QuU5_82_sKCJAVXu9r/view" TargetMode="External"/><Relationship Id="rId185" Type="http://schemas.openxmlformats.org/officeDocument/2006/relationships/hyperlink" Target="https://drive.google.com/file/d/1SwGuppOSsaAXO29onhyWUH40O1h_4XmG/view" TargetMode="External"/><Relationship Id="rId186" Type="http://schemas.openxmlformats.org/officeDocument/2006/relationships/hyperlink" Target="https://drive.google.com/file/d/1CxHINAnd0jSBd5QuU5_82_sKCJAVXu9r/view" TargetMode="External"/><Relationship Id="rId187" Type="http://schemas.openxmlformats.org/officeDocument/2006/relationships/hyperlink" Target="https://drive.google.com/file/d/1SwGuppOSsaAXO29onhyWUH40O1h_4XmG/view" TargetMode="External"/><Relationship Id="rId188" Type="http://schemas.openxmlformats.org/officeDocument/2006/relationships/hyperlink" Target="https://drive.google.com/file/d/1CxHINAnd0jSBd5QuU5_82_sKCJAVXu9r/view" TargetMode="External"/><Relationship Id="rId189" Type="http://schemas.openxmlformats.org/officeDocument/2006/relationships/hyperlink" Target="https://drive.google.com/file/d/1SwGuppOSsaAXO29onhyWUH40O1h_4XmG/view" TargetMode="External"/><Relationship Id="rId190" Type="http://schemas.openxmlformats.org/officeDocument/2006/relationships/hyperlink" Target="https://drive.google.com/file/d/1CxHINAnd0jSBd5QuU5_82_sKCJAVXu9r/view" TargetMode="External"/><Relationship Id="rId191" Type="http://schemas.openxmlformats.org/officeDocument/2006/relationships/hyperlink" Target="https://drive.google.com/file/d/1CxHINAnd0jSBd5QuU5_82_sKCJAVXu9r/view" TargetMode="External"/><Relationship Id="rId192" Type="http://schemas.openxmlformats.org/officeDocument/2006/relationships/hyperlink" Target="https://drive.google.com/file/d/1SwGuppOSsaAXO29onhyWUH40O1h_4XmG/view" TargetMode="External"/><Relationship Id="rId193" Type="http://schemas.openxmlformats.org/officeDocument/2006/relationships/hyperlink" Target="https://drive.google.com/file/d/1SwGuppOSsaAXO29onhyWUH40O1h_4XmG/view" TargetMode="External"/><Relationship Id="rId194" Type="http://schemas.openxmlformats.org/officeDocument/2006/relationships/hyperlink" Target="https://drive.google.com/file/d/1SwGuppOSsaAXO29onhyWUH40O1h_4XmG/view" TargetMode="External"/><Relationship Id="rId195" Type="http://schemas.openxmlformats.org/officeDocument/2006/relationships/hyperlink" Target="https://drive.google.com/file/d/1SwGuppOSsaAXO29onhyWUH40O1h_4XmG/view" TargetMode="External"/><Relationship Id="rId196" Type="http://schemas.openxmlformats.org/officeDocument/2006/relationships/hyperlink" Target="https://drive.google.com/file/d/1SwGuppOSsaAXO29onhyWUH40O1h_4XmG/view" TargetMode="External"/><Relationship Id="rId197" Type="http://schemas.openxmlformats.org/officeDocument/2006/relationships/hyperlink" Target="https://drive.google.com/file/d/1SwGuppOSsaAXO29onhyWUH40O1h_4XmG/view" TargetMode="External"/><Relationship Id="rId198" Type="http://schemas.openxmlformats.org/officeDocument/2006/relationships/hyperlink" Target="https://drive.google.com/file/d/1SwGuppOSsaAXO29onhyWUH40O1h_4XmG/view" TargetMode="External"/><Relationship Id="rId199" Type="http://schemas.openxmlformats.org/officeDocument/2006/relationships/hyperlink" Target="https://drive.google.com/file/d/1SwGuppOSsaAXO29onhyWUH40O1h_4XmG/view" TargetMode="External"/><Relationship Id="rId200" Type="http://schemas.openxmlformats.org/officeDocument/2006/relationships/hyperlink" Target="https://drive.google.com/file/d/1SwGuppOSsaAXO29onhyWUH40O1h_4XmG/view" TargetMode="External"/><Relationship Id="rId201" Type="http://schemas.openxmlformats.org/officeDocument/2006/relationships/hyperlink" Target="https://drive.google.com/file/d/1SwGuppOSsaAXO29onhyWUH40O1h_4XmG/view" TargetMode="External"/><Relationship Id="rId202" Type="http://schemas.openxmlformats.org/officeDocument/2006/relationships/hyperlink" Target="https://drive.google.com/file/d/1SwGuppOSsaAXO29onhyWUH40O1h_4XmG/view" TargetMode="External"/><Relationship Id="rId203" Type="http://schemas.openxmlformats.org/officeDocument/2006/relationships/hyperlink" Target="https://drive.google.com/file/d/1SwGuppOSsaAXO29onhyWUH40O1h_4XmG/view" TargetMode="External"/><Relationship Id="rId204" Type="http://schemas.openxmlformats.org/officeDocument/2006/relationships/hyperlink" Target="https://drive.google.com/file/d/1SwGuppOSsaAXO29onhyWUH40O1h_4XmG/view" TargetMode="External"/><Relationship Id="rId205" Type="http://schemas.openxmlformats.org/officeDocument/2006/relationships/hyperlink" Target="https://drive.google.com/file/d/1SwGuppOSsaAXO29onhyWUH40O1h_4XmG/view" TargetMode="External"/><Relationship Id="rId206" Type="http://schemas.openxmlformats.org/officeDocument/2006/relationships/hyperlink" Target="https://drive.google.com/file/d/1SwGuppOSsaAXO29onhyWUH40O1h_4XmG/view" TargetMode="External"/><Relationship Id="rId207" Type="http://schemas.openxmlformats.org/officeDocument/2006/relationships/hyperlink" Target="https://drive.google.com/file/d/1SwGuppOSsaAXO29onhyWUH40O1h_4XmG/view" TargetMode="External"/><Relationship Id="rId208" Type="http://schemas.openxmlformats.org/officeDocument/2006/relationships/hyperlink" Target="https://drive.google.com/file/d/1SwGuppOSsaAXO29onhyWUH40O1h_4XmG/view" TargetMode="External"/><Relationship Id="rId209" Type="http://schemas.openxmlformats.org/officeDocument/2006/relationships/hyperlink" Target="https://drive.google.com/file/d/1SwGuppOSsaAXO29onhyWUH40O1h_4XmG/view" TargetMode="External"/><Relationship Id="rId210" Type="http://schemas.openxmlformats.org/officeDocument/2006/relationships/hyperlink" Target="https://drive.google.com/file/d/1SwGuppOSsaAXO29onhyWUH40O1h_4XmG/view" TargetMode="External"/><Relationship Id="rId211" Type="http://schemas.openxmlformats.org/officeDocument/2006/relationships/hyperlink" Target="https://drive.google.com/file/d/1SwGuppOSsaAXO29onhyWUH40O1h_4XmG/view" TargetMode="External"/><Relationship Id="rId212" Type="http://schemas.openxmlformats.org/officeDocument/2006/relationships/hyperlink" Target="https://drive.google.com/file/d/1SwGuppOSsaAXO29onhyWUH40O1h_4XmG/view" TargetMode="External"/><Relationship Id="rId213" Type="http://schemas.openxmlformats.org/officeDocument/2006/relationships/hyperlink" Target="https://drive.google.com/file/d/1SwGuppOSsaAXO29onhyWUH40O1h_4XmG/view" TargetMode="External"/><Relationship Id="rId214" Type="http://schemas.openxmlformats.org/officeDocument/2006/relationships/hyperlink" Target="https://drive.google.com/file/d/1SwGuppOSsaAXO29onhyWUH40O1h_4XmG/view" TargetMode="External"/><Relationship Id="rId215" Type="http://schemas.openxmlformats.org/officeDocument/2006/relationships/hyperlink" Target="https://drive.google.com/file/d/1SwGuppOSsaAXO29onhyWUH40O1h_4XmG/view" TargetMode="External"/><Relationship Id="rId216" Type="http://schemas.openxmlformats.org/officeDocument/2006/relationships/hyperlink" Target="https://drive.google.com/file/d/1SwGuppOSsaAXO29onhyWUH40O1h_4XmG/view" TargetMode="External"/><Relationship Id="rId217" Type="http://schemas.openxmlformats.org/officeDocument/2006/relationships/hyperlink" Target="https://drive.google.com/file/d/1SwGuppOSsaAXO29onhyWUH40O1h_4XmG/view" TargetMode="External"/><Relationship Id="rId218" Type="http://schemas.openxmlformats.org/officeDocument/2006/relationships/hyperlink" Target="https://drive.google.com/file/d/1SwGuppOSsaAXO29onhyWUH40O1h_4XmG/view" TargetMode="External"/><Relationship Id="rId219" Type="http://schemas.openxmlformats.org/officeDocument/2006/relationships/hyperlink" Target="https://drive.google.com/file/d/1SwGuppOSsaAXO29onhyWUH40O1h_4XmG/view" TargetMode="External"/><Relationship Id="rId220" Type="http://schemas.openxmlformats.org/officeDocument/2006/relationships/hyperlink" Target="https://drive.google.com/file/d/1SwGuppOSsaAXO29onhyWUH40O1h_4XmG/view" TargetMode="External"/><Relationship Id="rId221" Type="http://schemas.openxmlformats.org/officeDocument/2006/relationships/hyperlink" Target="https://drive.google.com/file/d/1SwGuppOSsaAXO29onhyWUH40O1h_4XmG/view" TargetMode="External"/><Relationship Id="rId222" Type="http://schemas.openxmlformats.org/officeDocument/2006/relationships/hyperlink" Target="https://drive.google.com/file/d/1SwGuppOSsaAXO29onhyWUH40O1h_4XmG/view" TargetMode="External"/><Relationship Id="rId223" Type="http://schemas.openxmlformats.org/officeDocument/2006/relationships/hyperlink" Target="https://drive.google.com/file/d/1SwGuppOSsaAXO29onhyWUH40O1h_4XmG/view" TargetMode="External"/><Relationship Id="rId224" Type="http://schemas.openxmlformats.org/officeDocument/2006/relationships/hyperlink" Target="https://drive.google.com/file/d/1SwGuppOSsaAXO29onhyWUH40O1h_4XmG/view" TargetMode="External"/><Relationship Id="rId225" Type="http://schemas.openxmlformats.org/officeDocument/2006/relationships/hyperlink" Target="https://drive.google.com/file/d/1SwGuppOSsaAXO29onhyWUH40O1h_4XmG/view" TargetMode="External"/><Relationship Id="rId226" Type="http://schemas.openxmlformats.org/officeDocument/2006/relationships/hyperlink" Target="https://drive.google.com/file/d/1SwGuppOSsaAXO29onhyWUH40O1h_4XmG/view" TargetMode="External"/><Relationship Id="rId227" Type="http://schemas.openxmlformats.org/officeDocument/2006/relationships/hyperlink" Target="https://drive.google.com/file/d/1SwGuppOSsaAXO29onhyWUH40O1h_4XmG/view" TargetMode="External"/><Relationship Id="rId228" Type="http://schemas.openxmlformats.org/officeDocument/2006/relationships/hyperlink" Target="https://drive.google.com/file/d/1SwGuppOSsaAXO29onhyWUH40O1h_4XmG/view" TargetMode="External"/><Relationship Id="rId229" Type="http://schemas.openxmlformats.org/officeDocument/2006/relationships/hyperlink" Target="https://drive.google.com/file/d/1SwGuppOSsaAXO29onhyWUH40O1h_4XmG/view" TargetMode="External"/><Relationship Id="rId230" Type="http://schemas.openxmlformats.org/officeDocument/2006/relationships/hyperlink" Target="https://drive.google.com/file/d/1SwGuppOSsaAXO29onhyWUH40O1h_4XmG/view" TargetMode="External"/><Relationship Id="rId231" Type="http://schemas.openxmlformats.org/officeDocument/2006/relationships/hyperlink" Target="https://drive.google.com/file/d/1SwGuppOSsaAXO29onhyWUH40O1h_4XmG/view" TargetMode="External"/><Relationship Id="rId232" Type="http://schemas.openxmlformats.org/officeDocument/2006/relationships/hyperlink" Target="https://drive.google.com/file/d/1SwGuppOSsaAXO29onhyWUH40O1h_4XmG/view" TargetMode="External"/><Relationship Id="rId233" Type="http://schemas.openxmlformats.org/officeDocument/2006/relationships/hyperlink" Target="https://drive.google.com/file/d/1SwGuppOSsaAXO29onhyWUH40O1h_4XmG/view" TargetMode="External"/><Relationship Id="rId234" Type="http://schemas.openxmlformats.org/officeDocument/2006/relationships/hyperlink" Target="https://drive.google.com/file/d/1SwGuppOSsaAXO29onhyWUH40O1h_4XmG/view" TargetMode="External"/><Relationship Id="rId235" Type="http://schemas.openxmlformats.org/officeDocument/2006/relationships/hyperlink" Target="https://drive.google.com/file/d/1SwGuppOSsaAXO29onhyWUH40O1h_4XmG/view" TargetMode="External"/><Relationship Id="rId236" Type="http://schemas.openxmlformats.org/officeDocument/2006/relationships/hyperlink" Target="https://drive.google.com/file/d/1SwGuppOSsaAXO29onhyWUH40O1h_4XmG/view" TargetMode="External"/><Relationship Id="rId237" Type="http://schemas.openxmlformats.org/officeDocument/2006/relationships/hyperlink" Target="https://drive.google.com/file/d/1SwGuppOSsaAXO29onhyWUH40O1h_4XmG/view" TargetMode="External"/><Relationship Id="rId238" Type="http://schemas.openxmlformats.org/officeDocument/2006/relationships/hyperlink" Target="https://drive.google.com/file/d/1SwGuppOSsaAXO29onhyWUH40O1h_4XmG/view" TargetMode="External"/><Relationship Id="rId239" Type="http://schemas.openxmlformats.org/officeDocument/2006/relationships/hyperlink" Target="https://drive.google.com/file/d/1SwGuppOSsaAXO29onhyWUH40O1h_4XmG/view" TargetMode="External"/><Relationship Id="rId240" Type="http://schemas.openxmlformats.org/officeDocument/2006/relationships/hyperlink" Target="https://drive.google.com/file/d/1SwGuppOSsaAXO29onhyWUH40O1h_4XmG/view" TargetMode="External"/><Relationship Id="rId241" Type="http://schemas.openxmlformats.org/officeDocument/2006/relationships/hyperlink" Target="https://drive.google.com/file/d/1SwGuppOSsaAXO29onhyWUH40O1h_4XmG/view" TargetMode="External"/><Relationship Id="rId242" Type="http://schemas.openxmlformats.org/officeDocument/2006/relationships/hyperlink" Target="https://drive.google.com/file/d/1SwGuppOSsaAXO29onhyWUH40O1h_4XmG/view" TargetMode="External"/><Relationship Id="rId243" Type="http://schemas.openxmlformats.org/officeDocument/2006/relationships/hyperlink" Target="https://drive.google.com/file/d/1SwGuppOSsaAXO29onhyWUH40O1h_4XmG/view" TargetMode="External"/><Relationship Id="rId244" Type="http://schemas.openxmlformats.org/officeDocument/2006/relationships/hyperlink" Target="https://drive.google.com/file/d/1SwGuppOSsaAXO29onhyWUH40O1h_4XmG/view" TargetMode="External"/><Relationship Id="rId245" Type="http://schemas.openxmlformats.org/officeDocument/2006/relationships/hyperlink" Target="https://drive.google.com/file/d/1SwGuppOSsaAXO29onhyWUH40O1h_4XmG/view" TargetMode="External"/><Relationship Id="rId246" Type="http://schemas.openxmlformats.org/officeDocument/2006/relationships/hyperlink" Target="https://drive.google.com/file/d/1SwGuppOSsaAXO29onhyWUH40O1h_4XmG/view" TargetMode="External"/><Relationship Id="rId247" Type="http://schemas.openxmlformats.org/officeDocument/2006/relationships/hyperlink" Target="https://drive.google.com/file/d/1SwGuppOSsaAXO29onhyWUH40O1h_4XmG/view" TargetMode="External"/><Relationship Id="rId248" Type="http://schemas.openxmlformats.org/officeDocument/2006/relationships/hyperlink" Target="https://drive.google.com/file/d/1SwGuppOSsaAXO29onhyWUH40O1h_4XmG/view" TargetMode="External"/><Relationship Id="rId249" Type="http://schemas.openxmlformats.org/officeDocument/2006/relationships/hyperlink" Target="https://drive.google.com/file/d/1SwGuppOSsaAXO29onhyWUH40O1h_4XmG/view" TargetMode="External"/><Relationship Id="rId250" Type="http://schemas.openxmlformats.org/officeDocument/2006/relationships/hyperlink" Target="https://drive.google.com/file/d/1SwGuppOSsaAXO29onhyWUH40O1h_4XmG/view" TargetMode="External"/><Relationship Id="rId251" Type="http://schemas.openxmlformats.org/officeDocument/2006/relationships/hyperlink" Target="https://drive.google.com/file/d/1SwGuppOSsaAXO29onhyWUH40O1h_4XmG/view" TargetMode="External"/><Relationship Id="rId252" Type="http://schemas.openxmlformats.org/officeDocument/2006/relationships/hyperlink" Target="https://drive.google.com/file/d/1SwGuppOSsaAXO29onhyWUH40O1h_4XmG/view" TargetMode="External"/><Relationship Id="rId253" Type="http://schemas.openxmlformats.org/officeDocument/2006/relationships/hyperlink" Target="https://drive.google.com/file/d/1SwGuppOSsaAXO29onhyWUH40O1h_4XmG/view" TargetMode="External"/><Relationship Id="rId254" Type="http://schemas.openxmlformats.org/officeDocument/2006/relationships/hyperlink" Target="https://drive.google.com/file/d/1SwGuppOSsaAXO29onhyWUH40O1h_4XmG/view" TargetMode="External"/><Relationship Id="rId255" Type="http://schemas.openxmlformats.org/officeDocument/2006/relationships/hyperlink" Target="https://drive.google.com/file/d/1SwGuppOSsaAXO29onhyWUH40O1h_4XmG/view" TargetMode="External"/><Relationship Id="rId256" Type="http://schemas.openxmlformats.org/officeDocument/2006/relationships/hyperlink" Target="https://drive.google.com/file/d/1SwGuppOSsaAXO29onhyWUH40O1h_4XmG/view" TargetMode="External"/><Relationship Id="rId257" Type="http://schemas.openxmlformats.org/officeDocument/2006/relationships/hyperlink" Target="https://drive.google.com/file/d/1SwGuppOSsaAXO29onhyWUH40O1h_4XmG/view" TargetMode="External"/><Relationship Id="rId258" Type="http://schemas.openxmlformats.org/officeDocument/2006/relationships/hyperlink" Target="https://drive.google.com/file/d/1SwGuppOSsaAXO29onhyWUH40O1h_4XmG/view" TargetMode="External"/><Relationship Id="rId259" Type="http://schemas.openxmlformats.org/officeDocument/2006/relationships/hyperlink" Target="https://drive.google.com/file/d/1SwGuppOSsaAXO29onhyWUH40O1h_4XmG/view" TargetMode="External"/><Relationship Id="rId260" Type="http://schemas.openxmlformats.org/officeDocument/2006/relationships/hyperlink" Target="https://drive.google.com/file/d/1SwGuppOSsaAXO29onhyWUH40O1h_4XmG/view" TargetMode="External"/><Relationship Id="rId261" Type="http://schemas.openxmlformats.org/officeDocument/2006/relationships/hyperlink" Target="https://drive.google.com/file/d/1SwGuppOSsaAXO29onhyWUH40O1h_4XmG/view" TargetMode="External"/><Relationship Id="rId262" Type="http://schemas.openxmlformats.org/officeDocument/2006/relationships/hyperlink" Target="https://drive.google.com/file/d/1SwGuppOSsaAXO29onhyWUH40O1h_4XmG/view" TargetMode="External"/><Relationship Id="rId263" Type="http://schemas.openxmlformats.org/officeDocument/2006/relationships/hyperlink" Target="https://drive.google.com/file/d/1SwGuppOSsaAXO29onhyWUH40O1h_4XmG/view" TargetMode="External"/><Relationship Id="rId264" Type="http://schemas.openxmlformats.org/officeDocument/2006/relationships/hyperlink" Target="https://drive.google.com/file/d/1SwGuppOSsaAXO29onhyWUH40O1h_4XmG/view" TargetMode="External"/><Relationship Id="rId265" Type="http://schemas.openxmlformats.org/officeDocument/2006/relationships/hyperlink" Target="https://drive.google.com/file/d/1SwGuppOSsaAXO29onhyWUH40O1h_4XmG/view" TargetMode="External"/><Relationship Id="rId266" Type="http://schemas.openxmlformats.org/officeDocument/2006/relationships/hyperlink" Target="https://drive.google.com/file/d/1SwGuppOSsaAXO29onhyWUH40O1h_4XmG/view" TargetMode="External"/><Relationship Id="rId267" Type="http://schemas.openxmlformats.org/officeDocument/2006/relationships/hyperlink" Target="https://drive.google.com/file/d/1SwGuppOSsaAXO29onhyWUH40O1h_4XmG/view" TargetMode="External"/><Relationship Id="rId268" Type="http://schemas.openxmlformats.org/officeDocument/2006/relationships/hyperlink" Target="https://drive.google.com/file/d/1SwGuppOSsaAXO29onhyWUH40O1h_4XmG/view" TargetMode="External"/><Relationship Id="rId269" Type="http://schemas.openxmlformats.org/officeDocument/2006/relationships/hyperlink" Target="https://drive.google.com/file/d/1SwGuppOSsaAXO29onhyWUH40O1h_4XmG/view" TargetMode="External"/><Relationship Id="rId270" Type="http://schemas.openxmlformats.org/officeDocument/2006/relationships/hyperlink" Target="https://drive.google.com/file/d/1SwGuppOSsaAXO29onhyWUH40O1h_4XmG/view" TargetMode="External"/><Relationship Id="rId271" Type="http://schemas.openxmlformats.org/officeDocument/2006/relationships/hyperlink" Target="https://drive.google.com/file/d/1SwGuppOSsaAXO29onhyWUH40O1h_4XmG/view" TargetMode="External"/><Relationship Id="rId272" Type="http://schemas.openxmlformats.org/officeDocument/2006/relationships/hyperlink" Target="https://drive.google.com/file/d/1SwGuppOSsaAXO29onhyWUH40O1h_4XmG/view" TargetMode="External"/><Relationship Id="rId273" Type="http://schemas.openxmlformats.org/officeDocument/2006/relationships/hyperlink" Target="https://drive.google.com/file/d/1SwGuppOSsaAXO29onhyWUH40O1h_4XmG/view" TargetMode="External"/><Relationship Id="rId274" Type="http://schemas.openxmlformats.org/officeDocument/2006/relationships/hyperlink" Target="https://drive.google.com/file/d/1SwGuppOSsaAXO29onhyWUH40O1h_4XmG/view" TargetMode="External"/><Relationship Id="rId275" Type="http://schemas.openxmlformats.org/officeDocument/2006/relationships/hyperlink" Target="https://drive.google.com/file/d/1SwGuppOSsaAXO29onhyWUH40O1h_4XmG/view" TargetMode="External"/><Relationship Id="rId276" Type="http://schemas.openxmlformats.org/officeDocument/2006/relationships/hyperlink" Target="https://drive.google.com/file/d/1SwGuppOSsaAXO29onhyWUH40O1h_4XmG/view" TargetMode="External"/><Relationship Id="rId277" Type="http://schemas.openxmlformats.org/officeDocument/2006/relationships/hyperlink" Target="https://drive.google.com/file/d/1SwGuppOSsaAXO29onhyWUH40O1h_4XmG/view" TargetMode="External"/><Relationship Id="rId278" Type="http://schemas.openxmlformats.org/officeDocument/2006/relationships/hyperlink" Target="https://drive.google.com/file/d/1SwGuppOSsaAXO29onhyWUH40O1h_4XmG/view" TargetMode="External"/><Relationship Id="rId279" Type="http://schemas.openxmlformats.org/officeDocument/2006/relationships/hyperlink" Target="https://drive.google.com/file/d/1SwGuppOSsaAXO29onhyWUH40O1h_4XmG/view" TargetMode="External"/><Relationship Id="rId280" Type="http://schemas.openxmlformats.org/officeDocument/2006/relationships/hyperlink" Target="https://drive.google.com/file/d/1SwGuppOSsaAXO29onhyWUH40O1h_4XmG/view" TargetMode="External"/><Relationship Id="rId281" Type="http://schemas.openxmlformats.org/officeDocument/2006/relationships/hyperlink" Target="https://drive.google.com/file/d/1SwGuppOSsaAXO29onhyWUH40O1h_4XmG/view" TargetMode="External"/><Relationship Id="rId282" Type="http://schemas.openxmlformats.org/officeDocument/2006/relationships/hyperlink" Target="https://drive.google.com/file/d/1SwGuppOSsaAXO29onhyWUH40O1h_4XmG/view" TargetMode="External"/><Relationship Id="rId283" Type="http://schemas.openxmlformats.org/officeDocument/2006/relationships/hyperlink" Target="https://drive.google.com/file/d/1SwGuppOSsaAXO29onhyWUH40O1h_4XmG/view" TargetMode="External"/><Relationship Id="rId284" Type="http://schemas.openxmlformats.org/officeDocument/2006/relationships/hyperlink" Target="https://drive.google.com/file/d/1SwGuppOSsaAXO29onhyWUH40O1h_4XmG/view" TargetMode="External"/><Relationship Id="rId285" Type="http://schemas.openxmlformats.org/officeDocument/2006/relationships/hyperlink" Target="https://drive.google.com/file/d/1SwGuppOSsaAXO29onhyWUH40O1h_4XmG/view" TargetMode="External"/><Relationship Id="rId286" Type="http://schemas.openxmlformats.org/officeDocument/2006/relationships/hyperlink" Target="https://drive.google.com/file/d/1SwGuppOSsaAXO29onhyWUH40O1h_4XmG/view" TargetMode="External"/><Relationship Id="rId287" Type="http://schemas.openxmlformats.org/officeDocument/2006/relationships/hyperlink" Target="https://drive.google.com/file/d/1SwGuppOSsaAXO29onhyWUH40O1h_4XmG/view" TargetMode="External"/><Relationship Id="rId288" Type="http://schemas.openxmlformats.org/officeDocument/2006/relationships/hyperlink" Target="https://drive.google.com/file/d/1SwGuppOSsaAXO29onhyWUH40O1h_4XmG/view" TargetMode="External"/><Relationship Id="rId289" Type="http://schemas.openxmlformats.org/officeDocument/2006/relationships/hyperlink" Target="https://drive.google.com/file/d/1SwGuppOSsaAXO29onhyWUH40O1h_4XmG/view" TargetMode="External"/><Relationship Id="rId290" Type="http://schemas.openxmlformats.org/officeDocument/2006/relationships/hyperlink" Target="https://drive.google.com/file/d/1SwGuppOSsaAXO29onhyWUH40O1h_4XmG/view" TargetMode="External"/><Relationship Id="rId291" Type="http://schemas.openxmlformats.org/officeDocument/2006/relationships/hyperlink" Target="https://drive.google.com/file/d/1SwGuppOSsaAXO29onhyWUH40O1h_4XmG/view" TargetMode="External"/><Relationship Id="rId292" Type="http://schemas.openxmlformats.org/officeDocument/2006/relationships/hyperlink" Target="https://drive.google.com/file/d/1SwGuppOSsaAXO29onhyWUH40O1h_4XmG/view" TargetMode="External"/><Relationship Id="rId293" Type="http://schemas.openxmlformats.org/officeDocument/2006/relationships/hyperlink" Target="https://drive.google.com/file/d/1SwGuppOSsaAXO29onhyWUH40O1h_4XmG/view" TargetMode="External"/><Relationship Id="rId294" Type="http://schemas.openxmlformats.org/officeDocument/2006/relationships/hyperlink" Target="https://drive.google.com/file/d/1SwGuppOSsaAXO29onhyWUH40O1h_4XmG/view" TargetMode="External"/><Relationship Id="rId295" Type="http://schemas.openxmlformats.org/officeDocument/2006/relationships/hyperlink" Target="https://drive.google.com/file/d/1SwGuppOSsaAXO29onhyWUH40O1h_4XmG/view" TargetMode="External"/><Relationship Id="rId296" Type="http://schemas.openxmlformats.org/officeDocument/2006/relationships/hyperlink" Target="https://drive.google.com/file/d/1SwGuppOSsaAXO29onhyWUH40O1h_4XmG/view" TargetMode="External"/><Relationship Id="rId297" Type="http://schemas.openxmlformats.org/officeDocument/2006/relationships/hyperlink" Target="https://drive.google.com/file/d/1SwGuppOSsaAXO29onhyWUH40O1h_4XmG/view" TargetMode="External"/><Relationship Id="rId298" Type="http://schemas.openxmlformats.org/officeDocument/2006/relationships/hyperlink" Target="https://drive.google.com/file/d/1SwGuppOSsaAXO29onhyWUH40O1h_4XmG/view" TargetMode="External"/><Relationship Id="rId299" Type="http://schemas.openxmlformats.org/officeDocument/2006/relationships/hyperlink" Target="https://drive.google.com/file/d/1SwGuppOSsaAXO29onhyWUH40O1h_4XmG/view" TargetMode="External"/><Relationship Id="rId300" Type="http://schemas.openxmlformats.org/officeDocument/2006/relationships/hyperlink" Target="https://drive.google.com/file/d/1SwGuppOSsaAXO29onhyWUH40O1h_4XmG/view" TargetMode="External"/><Relationship Id="rId301" Type="http://schemas.openxmlformats.org/officeDocument/2006/relationships/hyperlink" Target="https://drive.google.com/file/d/1SwGuppOSsaAXO29onhyWUH40O1h_4XmG/view" TargetMode="External"/><Relationship Id="rId302" Type="http://schemas.openxmlformats.org/officeDocument/2006/relationships/hyperlink" Target="https://drive.google.com/file/d/1SwGuppOSsaAXO29onhyWUH40O1h_4XmG/view" TargetMode="External"/><Relationship Id="rId303" Type="http://schemas.openxmlformats.org/officeDocument/2006/relationships/hyperlink" Target="https://drive.google.com/file/d/1SwGuppOSsaAXO29onhyWUH40O1h_4XmG/view" TargetMode="External"/><Relationship Id="rId304" Type="http://schemas.openxmlformats.org/officeDocument/2006/relationships/hyperlink" Target="https://drive.google.com/file/d/1SwGuppOSsaAXO29onhyWUH40O1h_4XmG/view" TargetMode="External"/><Relationship Id="rId305" Type="http://schemas.openxmlformats.org/officeDocument/2006/relationships/hyperlink" Target="https://drive.google.com/file/d/1SwGuppOSsaAXO29onhyWUH40O1h_4XmG/view" TargetMode="External"/><Relationship Id="rId306" Type="http://schemas.openxmlformats.org/officeDocument/2006/relationships/hyperlink" Target="https://drive.google.com/file/d/1SwGuppOSsaAXO29onhyWUH40O1h_4XmG/view" TargetMode="External"/><Relationship Id="rId307" Type="http://schemas.openxmlformats.org/officeDocument/2006/relationships/hyperlink" Target="https://drive.google.com/file/d/1SwGuppOSsaAXO29onhyWUH40O1h_4XmG/view" TargetMode="External"/><Relationship Id="rId308" Type="http://schemas.openxmlformats.org/officeDocument/2006/relationships/hyperlink" Target="https://drive.google.com/file/d/1SwGuppOSsaAXO29onhyWUH40O1h_4XmG/view" TargetMode="External"/><Relationship Id="rId309" Type="http://schemas.openxmlformats.org/officeDocument/2006/relationships/hyperlink" Target="https://drive.google.com/file/d/1SwGuppOSsaAXO29onhyWUH40O1h_4XmG/view" TargetMode="External"/><Relationship Id="rId310" Type="http://schemas.openxmlformats.org/officeDocument/2006/relationships/hyperlink" Target="https://drive.google.com/file/d/1SwGuppOSsaAXO29onhyWUH40O1h_4XmG/view" TargetMode="External"/><Relationship Id="rId311" Type="http://schemas.openxmlformats.org/officeDocument/2006/relationships/hyperlink" Target="https://drive.google.com/file/d/1SwGuppOSsaAXO29onhyWUH40O1h_4XmG/view" TargetMode="External"/><Relationship Id="rId312" Type="http://schemas.openxmlformats.org/officeDocument/2006/relationships/hyperlink" Target="https://drive.google.com/file/d/1SwGuppOSsaAXO29onhyWUH40O1h_4XmG/view" TargetMode="External"/><Relationship Id="rId313" Type="http://schemas.openxmlformats.org/officeDocument/2006/relationships/hyperlink" Target="https://drive.google.com/file/d/1SwGuppOSsaAXO29onhyWUH40O1h_4XmG/view"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drive.google.com/file/d/1CxHINAnd0jSBd5QuU5_82_sKCJAVXu9r/view" TargetMode="External"/><Relationship Id="rId2" Type="http://schemas.openxmlformats.org/officeDocument/2006/relationships/hyperlink" Target="https://drive.google.com/file/d/1CxHINAnd0jSBd5QuU5_82_sKCJAVXu9r/view" TargetMode="External"/><Relationship Id="rId3" Type="http://schemas.openxmlformats.org/officeDocument/2006/relationships/hyperlink" Target="https://drive.google.com/file/d/1CxHINAnd0jSBd5QuU5_82_sKCJAVXu9r/view" TargetMode="External"/><Relationship Id="rId4" Type="http://schemas.openxmlformats.org/officeDocument/2006/relationships/hyperlink" Target="https://drive.google.com/file/d/1CxHINAnd0jSBd5QuU5_82_sKCJAVXu9r/view" TargetMode="External"/><Relationship Id="rId5" Type="http://schemas.openxmlformats.org/officeDocument/2006/relationships/hyperlink" Target="https://drive.google.com/file/d/1CxHINAnd0jSBd5QuU5_82_sKCJAVXu9r/view" TargetMode="External"/><Relationship Id="rId6" Type="http://schemas.openxmlformats.org/officeDocument/2006/relationships/hyperlink" Target="https://drive.google.com/file/d/1CxHINAnd0jSBd5QuU5_82_sKCJAVXu9r/view" TargetMode="External"/><Relationship Id="rId7" Type="http://schemas.openxmlformats.org/officeDocument/2006/relationships/hyperlink" Target="https://drive.google.com/file/d/1CxHINAnd0jSBd5QuU5_82_sKCJAVXu9r/view" TargetMode="External"/><Relationship Id="rId8" Type="http://schemas.openxmlformats.org/officeDocument/2006/relationships/hyperlink" Target="https://drive.google.com/file/d/1CxHINAnd0jSBd5QuU5_82_sKCJAVXu9r/view" TargetMode="External"/><Relationship Id="rId9" Type="http://schemas.openxmlformats.org/officeDocument/2006/relationships/hyperlink" Target="https://drive.google.com/file/d/1CxHINAnd0jSBd5QuU5_82_sKCJAVXu9r/view" TargetMode="External"/><Relationship Id="rId10" Type="http://schemas.openxmlformats.org/officeDocument/2006/relationships/hyperlink" Target="https://drive.google.com/file/d/1CxHINAnd0jSBd5QuU5_82_sKCJAVXu9r/view" TargetMode="External"/><Relationship Id="rId11" Type="http://schemas.openxmlformats.org/officeDocument/2006/relationships/hyperlink" Target="https://drive.google.com/file/d/1CxHINAnd0jSBd5QuU5_82_sKCJAVXu9r/view" TargetMode="External"/><Relationship Id="rId12" Type="http://schemas.openxmlformats.org/officeDocument/2006/relationships/hyperlink" Target="https://drive.google.com/file/d/1CxHINAnd0jSBd5QuU5_82_sKCJAVXu9r/view" TargetMode="External"/><Relationship Id="rId13" Type="http://schemas.openxmlformats.org/officeDocument/2006/relationships/hyperlink" Target="https://drive.google.com/file/d/1CxHINAnd0jSBd5QuU5_82_sKCJAVXu9r/view" TargetMode="External"/><Relationship Id="rId14" Type="http://schemas.openxmlformats.org/officeDocument/2006/relationships/hyperlink" Target="https://drive.google.com/file/d/1CxHINAnd0jSBd5QuU5_82_sKCJAVXu9r/view" TargetMode="External"/><Relationship Id="rId15" Type="http://schemas.openxmlformats.org/officeDocument/2006/relationships/hyperlink" Target="https://drive.google.com/file/d/1CxHINAnd0jSBd5QuU5_82_sKCJAVXu9r/view" TargetMode="External"/><Relationship Id="rId16" Type="http://schemas.openxmlformats.org/officeDocument/2006/relationships/hyperlink" Target="https://drive.google.com/file/d/1CxHINAnd0jSBd5QuU5_82_sKCJAVXu9r/view" TargetMode="External"/><Relationship Id="rId17" Type="http://schemas.openxmlformats.org/officeDocument/2006/relationships/hyperlink" Target="https://drive.google.com/file/d/1CxHINAnd0jSBd5QuU5_82_sKCJAVXu9r/view" TargetMode="External"/><Relationship Id="rId18" Type="http://schemas.openxmlformats.org/officeDocument/2006/relationships/hyperlink" Target="https://drive.google.com/file/d/1CxHINAnd0jSBd5QuU5_82_sKCJAVXu9r/view" TargetMode="External"/><Relationship Id="rId19" Type="http://schemas.openxmlformats.org/officeDocument/2006/relationships/hyperlink" Target="https://drive.google.com/file/d/1CxHINAnd0jSBd5QuU5_82_sKCJAVXu9r/view" TargetMode="External"/><Relationship Id="rId20" Type="http://schemas.openxmlformats.org/officeDocument/2006/relationships/hyperlink" Target="https://drive.google.com/file/d/1CxHINAnd0jSBd5QuU5_82_sKCJAVXu9r/view" TargetMode="External"/><Relationship Id="rId21" Type="http://schemas.openxmlformats.org/officeDocument/2006/relationships/hyperlink" Target="https://drive.google.com/file/d/1CxHINAnd0jSBd5QuU5_82_sKCJAVXu9r/view" TargetMode="External"/><Relationship Id="rId22" Type="http://schemas.openxmlformats.org/officeDocument/2006/relationships/hyperlink" Target="https://drive.google.com/file/d/1CxHINAnd0jSBd5QuU5_82_sKCJAVXu9r/view" TargetMode="External"/><Relationship Id="rId23" Type="http://schemas.openxmlformats.org/officeDocument/2006/relationships/hyperlink" Target="https://drive.google.com/file/d/1CxHINAnd0jSBd5QuU5_82_sKCJAVXu9r/view" TargetMode="External"/><Relationship Id="rId24" Type="http://schemas.openxmlformats.org/officeDocument/2006/relationships/hyperlink" Target="https://drive.google.com/file/d/1CxHINAnd0jSBd5QuU5_82_sKCJAVXu9r/view" TargetMode="External"/><Relationship Id="rId25" Type="http://schemas.openxmlformats.org/officeDocument/2006/relationships/hyperlink" Target="https://drive.google.com/file/d/1CxHINAnd0jSBd5QuU5_82_sKCJAVXu9r/view" TargetMode="External"/><Relationship Id="rId26" Type="http://schemas.openxmlformats.org/officeDocument/2006/relationships/hyperlink" Target="https://drive.google.com/file/d/1CxHINAnd0jSBd5QuU5_82_sKCJAVXu9r/view" TargetMode="External"/><Relationship Id="rId27" Type="http://schemas.openxmlformats.org/officeDocument/2006/relationships/hyperlink" Target="https://drive.google.com/file/d/1CxHINAnd0jSBd5QuU5_82_sKCJAVXu9r/view" TargetMode="External"/><Relationship Id="rId28" Type="http://schemas.openxmlformats.org/officeDocument/2006/relationships/hyperlink" Target="https://drive.google.com/file/d/1CxHINAnd0jSBd5QuU5_82_sKCJAVXu9r/view" TargetMode="External"/><Relationship Id="rId29" Type="http://schemas.openxmlformats.org/officeDocument/2006/relationships/hyperlink" Target="https://drive.google.com/file/d/1SwGuppOSsaAXO29onhyWUH40O1h_4XmG/view" TargetMode="External"/><Relationship Id="rId30" Type="http://schemas.openxmlformats.org/officeDocument/2006/relationships/hyperlink" Target="https://drive.google.com/file/d/1SwGuppOSsaAXO29onhyWUH40O1h_4XmG/view" TargetMode="External"/><Relationship Id="rId31" Type="http://schemas.openxmlformats.org/officeDocument/2006/relationships/hyperlink" Target="https://drive.google.com/file/d/1SwGuppOSsaAXO29onhyWUH40O1h_4XmG/view"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8"/>
  </cols>
  <sheetData>
    <row r="1" customFormat="false" ht="16.15" hidden="false" customHeight="false" outlineLevel="0" collapsed="false">
      <c r="A1" s="1" t="s">
        <v>0</v>
      </c>
    </row>
    <row r="2" customFormat="false" ht="15" hidden="false" customHeight="false" outlineLevel="0" collapsed="false">
      <c r="A2" s="2" t="s">
        <v>1</v>
      </c>
    </row>
    <row r="3" customFormat="false" ht="23.85" hidden="false" customHeight="false" outlineLevel="0" collapsed="false">
      <c r="A3" s="3" t="s">
        <v>2</v>
      </c>
      <c r="B3" s="3" t="s">
        <v>3</v>
      </c>
    </row>
    <row r="4" customFormat="false" ht="15" hidden="false" customHeight="false" outlineLevel="0" collapsed="false">
      <c r="A4" s="4" t="s">
        <v>4</v>
      </c>
      <c r="B4" s="4"/>
    </row>
    <row r="5" customFormat="false" ht="15" hidden="false" customHeight="false" outlineLevel="0" collapsed="false">
      <c r="A5" s="5" t="s">
        <v>5</v>
      </c>
      <c r="B5" s="6" t="n">
        <f aca="false">Compartidos!G5</f>
        <v>6.3826</v>
      </c>
    </row>
    <row r="6" customFormat="false" ht="15" hidden="false" customHeight="false" outlineLevel="0" collapsed="false">
      <c r="A6" s="5" t="s">
        <v>6</v>
      </c>
      <c r="B6" s="6" t="n">
        <f aca="false">Compartidos!G8</f>
        <v>9.182</v>
      </c>
    </row>
    <row r="7" customFormat="false" ht="15" hidden="false" customHeight="false" outlineLevel="0" collapsed="false">
      <c r="A7" s="5" t="s">
        <v>7</v>
      </c>
      <c r="B7" s="6" t="n">
        <f aca="false">Compartidos!G13</f>
        <v>4.035</v>
      </c>
    </row>
    <row r="8" customFormat="false" ht="15" hidden="false" customHeight="false" outlineLevel="0" collapsed="false">
      <c r="A8" s="5" t="s">
        <v>8</v>
      </c>
      <c r="B8" s="6" t="n">
        <f aca="false">Compartidos!G17</f>
        <v>3.87</v>
      </c>
    </row>
    <row r="9" customFormat="false" ht="15" hidden="false" customHeight="false" outlineLevel="0" collapsed="false">
      <c r="A9" s="5" t="s">
        <v>9</v>
      </c>
      <c r="B9" s="6" t="n">
        <f aca="false">Compartidos!G22</f>
        <v>5.04</v>
      </c>
    </row>
    <row r="10" customFormat="false" ht="15" hidden="false" customHeight="false" outlineLevel="0" collapsed="false">
      <c r="A10" s="7" t="s">
        <v>10</v>
      </c>
      <c r="B10" s="8" t="n">
        <f aca="false">SUM(B5:B9)</f>
        <v>28.5096</v>
      </c>
    </row>
    <row r="12" customFormat="false" ht="15" hidden="false" customHeight="false" outlineLevel="0" collapsed="false">
      <c r="A12" s="4" t="s">
        <v>11</v>
      </c>
      <c r="B12" s="4"/>
    </row>
    <row r="13" customFormat="false" ht="15" hidden="false" customHeight="false" outlineLevel="0" collapsed="false">
      <c r="A13" s="5" t="s">
        <v>12</v>
      </c>
      <c r="B13" s="6" t="n">
        <f aca="false">Manuales!F5</f>
        <v>12.02</v>
      </c>
    </row>
    <row r="14" customFormat="false" ht="15" hidden="false" customHeight="false" outlineLevel="0" collapsed="false">
      <c r="A14" s="5" t="s">
        <v>13</v>
      </c>
      <c r="B14" s="6" t="n">
        <f aca="false">Manuales!F13</f>
        <v>0</v>
      </c>
    </row>
    <row r="15" customFormat="false" ht="15" hidden="false" customHeight="false" outlineLevel="0" collapsed="false">
      <c r="A15" s="5" t="s">
        <v>14</v>
      </c>
      <c r="B15" s="6" t="n">
        <f aca="false">Manuales!F16</f>
        <v>4.03</v>
      </c>
    </row>
    <row r="16" customFormat="false" ht="15" hidden="false" customHeight="false" outlineLevel="0" collapsed="false">
      <c r="A16" s="5" t="s">
        <v>15</v>
      </c>
      <c r="B16" s="6" t="n">
        <f aca="false">Manuales!F21</f>
        <v>3.25</v>
      </c>
    </row>
    <row r="17" customFormat="false" ht="15" hidden="false" customHeight="false" outlineLevel="0" collapsed="false">
      <c r="A17" s="5" t="s">
        <v>16</v>
      </c>
      <c r="B17" s="6" t="n">
        <f aca="false">Manuales!F25</f>
        <v>7.27</v>
      </c>
    </row>
    <row r="18" customFormat="false" ht="15" hidden="false" customHeight="false" outlineLevel="0" collapsed="false">
      <c r="A18" s="5" t="s">
        <v>17</v>
      </c>
      <c r="B18" s="6" t="n">
        <f aca="false">Manuales!F30</f>
        <v>0</v>
      </c>
    </row>
    <row r="19" customFormat="false" ht="15" hidden="false" customHeight="false" outlineLevel="0" collapsed="false">
      <c r="A19" s="5" t="s">
        <v>18</v>
      </c>
      <c r="B19" s="6" t="n">
        <f aca="false">Manuales!F33</f>
        <v>5.23</v>
      </c>
    </row>
    <row r="20" customFormat="false" ht="15" hidden="false" customHeight="false" outlineLevel="0" collapsed="false">
      <c r="A20" s="5" t="s">
        <v>19</v>
      </c>
      <c r="B20" s="6" t="n">
        <f aca="false">Manuales!F39</f>
        <v>1.75</v>
      </c>
    </row>
    <row r="21" customFormat="false" ht="15" hidden="false" customHeight="false" outlineLevel="0" collapsed="false">
      <c r="A21" s="5" t="s">
        <v>20</v>
      </c>
      <c r="B21" s="6" t="n">
        <f aca="false">Manuales!F43</f>
        <v>10.31</v>
      </c>
    </row>
    <row r="22" customFormat="false" ht="15" hidden="false" customHeight="false" outlineLevel="0" collapsed="false">
      <c r="A22" s="5" t="s">
        <v>21</v>
      </c>
      <c r="B22" s="6" t="n">
        <f aca="false">Manuales!F49</f>
        <v>0</v>
      </c>
    </row>
    <row r="23" customFormat="false" ht="15" hidden="false" customHeight="false" outlineLevel="0" collapsed="false">
      <c r="A23" s="5" t="s">
        <v>22</v>
      </c>
      <c r="B23" s="6" t="n">
        <f aca="false">Manuales!F52</f>
        <v>6.76</v>
      </c>
    </row>
    <row r="24" customFormat="false" ht="15" hidden="false" customHeight="false" outlineLevel="0" collapsed="false">
      <c r="A24" s="5" t="s">
        <v>23</v>
      </c>
      <c r="B24" s="6" t="n">
        <f aca="false">Manuales!F56</f>
        <v>0</v>
      </c>
    </row>
    <row r="25" customFormat="false" ht="15" hidden="false" customHeight="false" outlineLevel="0" collapsed="false">
      <c r="A25" s="5" t="s">
        <v>24</v>
      </c>
      <c r="B25" s="6" t="n">
        <f aca="false">Manuales!F59</f>
        <v>0</v>
      </c>
    </row>
    <row r="26" customFormat="false" ht="15" hidden="false" customHeight="false" outlineLevel="0" collapsed="false">
      <c r="A26" s="5" t="s">
        <v>25</v>
      </c>
      <c r="B26" s="6" t="n">
        <f aca="false">Manuales!F62</f>
        <v>35.54</v>
      </c>
    </row>
    <row r="27" customFormat="false" ht="15" hidden="false" customHeight="false" outlineLevel="0" collapsed="false">
      <c r="A27" s="5" t="s">
        <v>26</v>
      </c>
      <c r="B27" s="6" t="n">
        <f aca="false">Manuales!F69</f>
        <v>4.1062</v>
      </c>
    </row>
    <row r="28" customFormat="false" ht="15" hidden="false" customHeight="false" outlineLevel="0" collapsed="false">
      <c r="A28" s="5" t="s">
        <v>27</v>
      </c>
      <c r="B28" s="6" t="n">
        <f aca="false">Manuales!F74</f>
        <v>3.395</v>
      </c>
    </row>
    <row r="29" customFormat="false" ht="15" hidden="false" customHeight="false" outlineLevel="0" collapsed="false">
      <c r="A29" s="5" t="s">
        <v>28</v>
      </c>
      <c r="B29" s="6" t="n">
        <f aca="false">Manuales!F79</f>
        <v>3.07</v>
      </c>
    </row>
    <row r="30" customFormat="false" ht="15" hidden="false" customHeight="false" outlineLevel="0" collapsed="false">
      <c r="A30" s="5" t="s">
        <v>29</v>
      </c>
      <c r="B30" s="6" t="n">
        <f aca="false">Manuales!F84</f>
        <v>3.43</v>
      </c>
    </row>
    <row r="31" customFormat="false" ht="15" hidden="false" customHeight="false" outlineLevel="0" collapsed="false">
      <c r="A31" s="5" t="s">
        <v>30</v>
      </c>
      <c r="B31" s="6" t="n">
        <f aca="false">Manuales!F89</f>
        <v>3.07</v>
      </c>
    </row>
    <row r="32" customFormat="false" ht="15" hidden="false" customHeight="false" outlineLevel="0" collapsed="false">
      <c r="A32" s="5" t="s">
        <v>31</v>
      </c>
      <c r="B32" s="6" t="n">
        <f aca="false">Manuales!F94</f>
        <v>5.94</v>
      </c>
    </row>
    <row r="33" customFormat="false" ht="15" hidden="false" customHeight="false" outlineLevel="0" collapsed="false">
      <c r="A33" s="7" t="s">
        <v>32</v>
      </c>
      <c r="B33" s="8" t="n">
        <f aca="false">SUM(B13:B32)</f>
        <v>109.1712</v>
      </c>
    </row>
    <row r="35" customFormat="false" ht="15" hidden="false" customHeight="false" outlineLevel="0" collapsed="false">
      <c r="A35" s="4" t="s">
        <v>33</v>
      </c>
      <c r="B35" s="4"/>
    </row>
    <row r="36" customFormat="false" ht="15" hidden="false" customHeight="false" outlineLevel="0" collapsed="false">
      <c r="A36" s="5" t="s">
        <v>34</v>
      </c>
      <c r="B36" s="6" t="n">
        <f aca="false">Carros!F5</f>
        <v>9.259241585</v>
      </c>
    </row>
    <row r="37" customFormat="false" ht="15" hidden="false" customHeight="false" outlineLevel="0" collapsed="false">
      <c r="A37" s="5" t="s">
        <v>35</v>
      </c>
      <c r="B37" s="6" t="n">
        <f aca="false">Carros!F9</f>
        <v>0.5752</v>
      </c>
    </row>
    <row r="38" customFormat="false" ht="15" hidden="false" customHeight="false" outlineLevel="0" collapsed="false">
      <c r="A38" s="5" t="s">
        <v>36</v>
      </c>
      <c r="B38" s="6" t="n">
        <f aca="false">Carros!F14</f>
        <v>3.0036</v>
      </c>
    </row>
    <row r="39" customFormat="false" ht="15" hidden="false" customHeight="false" outlineLevel="0" collapsed="false">
      <c r="A39" s="5" t="s">
        <v>37</v>
      </c>
      <c r="B39" s="6" t="n">
        <f aca="false">Carros!F18</f>
        <v>0.4716471095</v>
      </c>
    </row>
    <row r="40" customFormat="false" ht="15" hidden="false" customHeight="false" outlineLevel="0" collapsed="false">
      <c r="A40" s="5" t="s">
        <v>38</v>
      </c>
      <c r="B40" s="6" t="n">
        <f aca="false">Carros!F22</f>
        <v>2.4176</v>
      </c>
    </row>
    <row r="41" customFormat="false" ht="15" hidden="false" customHeight="false" outlineLevel="0" collapsed="false">
      <c r="A41" s="5" t="s">
        <v>39</v>
      </c>
      <c r="B41" s="6" t="n">
        <f aca="false">Carros!F27</f>
        <v>0.3988</v>
      </c>
    </row>
    <row r="42" customFormat="false" ht="15" hidden="false" customHeight="false" outlineLevel="0" collapsed="false">
      <c r="A42" s="5" t="s">
        <v>40</v>
      </c>
      <c r="B42" s="6" t="n">
        <f aca="false">Carros!F32</f>
        <v>0</v>
      </c>
    </row>
    <row r="43" customFormat="false" ht="15" hidden="false" customHeight="false" outlineLevel="0" collapsed="false">
      <c r="A43" s="5" t="s">
        <v>41</v>
      </c>
      <c r="B43" s="6" t="n">
        <f aca="false">Carros!F35</f>
        <v>12.65</v>
      </c>
    </row>
    <row r="44" customFormat="false" ht="15" hidden="false" customHeight="false" outlineLevel="0" collapsed="false">
      <c r="A44" s="5" t="s">
        <v>42</v>
      </c>
      <c r="B44" s="6" t="n">
        <f aca="false">Carros!F38</f>
        <v>12.65</v>
      </c>
    </row>
    <row r="45" customFormat="false" ht="15" hidden="false" customHeight="false" outlineLevel="0" collapsed="false">
      <c r="A45" s="5" t="s">
        <v>43</v>
      </c>
      <c r="B45" s="6" t="n">
        <f aca="false">Carros!F41</f>
        <v>0.3162</v>
      </c>
    </row>
    <row r="46" customFormat="false" ht="15" hidden="false" customHeight="false" outlineLevel="0" collapsed="false">
      <c r="A46" s="5" t="s">
        <v>44</v>
      </c>
      <c r="B46" s="6" t="n">
        <f aca="false">Carros!F44</f>
        <v>0</v>
      </c>
    </row>
    <row r="47" customFormat="false" ht="15" hidden="false" customHeight="false" outlineLevel="0" collapsed="false">
      <c r="A47" s="5" t="s">
        <v>45</v>
      </c>
      <c r="B47" s="6" t="n">
        <f aca="false">Carros!F47</f>
        <v>0</v>
      </c>
    </row>
    <row r="48" customFormat="false" ht="15" hidden="false" customHeight="false" outlineLevel="0" collapsed="false">
      <c r="A48" s="7" t="s">
        <v>46</v>
      </c>
      <c r="B48" s="8" t="n">
        <f aca="false">SUM(B36:B47)</f>
        <v>41.7422886945</v>
      </c>
    </row>
    <row r="50" customFormat="false" ht="15" hidden="false" customHeight="false" outlineLevel="0" collapsed="false">
      <c r="A50" s="4" t="s">
        <v>47</v>
      </c>
      <c r="B50" s="4"/>
    </row>
    <row r="51" customFormat="false" ht="15" hidden="false" customHeight="false" outlineLevel="0" collapsed="false">
      <c r="A51" s="5" t="s">
        <v>48</v>
      </c>
      <c r="B51" s="6" t="n">
        <f aca="false">Recargas!F5</f>
        <v>2.4</v>
      </c>
    </row>
    <row r="52" customFormat="false" ht="15" hidden="false" customHeight="false" outlineLevel="0" collapsed="false">
      <c r="A52" s="5" t="s">
        <v>49</v>
      </c>
      <c r="B52" s="6" t="n">
        <f aca="false">Recargas!F9</f>
        <v>1.2</v>
      </c>
    </row>
    <row r="53" customFormat="false" ht="15" hidden="false" customHeight="false" outlineLevel="0" collapsed="false">
      <c r="A53" s="5" t="s">
        <v>50</v>
      </c>
      <c r="B53" s="6" t="n">
        <f aca="false">Recargas!F13</f>
        <v>1.52</v>
      </c>
    </row>
    <row r="54" customFormat="false" ht="15" hidden="false" customHeight="false" outlineLevel="0" collapsed="false">
      <c r="A54" s="5" t="s">
        <v>51</v>
      </c>
      <c r="B54" s="6" t="n">
        <f aca="false">Recargas!F17</f>
        <v>1.2</v>
      </c>
    </row>
    <row r="55" customFormat="false" ht="15" hidden="false" customHeight="false" outlineLevel="0" collapsed="false">
      <c r="A55" s="5" t="s">
        <v>52</v>
      </c>
      <c r="B55" s="6" t="n">
        <f aca="false">Recargas!F21</f>
        <v>1.548</v>
      </c>
    </row>
    <row r="56" customFormat="false" ht="15" hidden="false" customHeight="false" outlineLevel="0" collapsed="false">
      <c r="A56" s="5" t="s">
        <v>53</v>
      </c>
      <c r="B56" s="6" t="n">
        <f aca="false">Recargas!F25</f>
        <v>1.5575</v>
      </c>
    </row>
    <row r="57" customFormat="false" ht="15" hidden="false" customHeight="false" outlineLevel="0" collapsed="false">
      <c r="A57" s="5" t="s">
        <v>54</v>
      </c>
      <c r="B57" s="6" t="n">
        <f aca="false">Recargas!F29</f>
        <v>1.2</v>
      </c>
    </row>
    <row r="58" customFormat="false" ht="15" hidden="false" customHeight="false" outlineLevel="0" collapsed="false">
      <c r="A58" s="5" t="s">
        <v>55</v>
      </c>
      <c r="B58" s="6" t="n">
        <f aca="false">Recargas!F33</f>
        <v>1.2</v>
      </c>
    </row>
    <row r="59" customFormat="false" ht="15" hidden="false" customHeight="false" outlineLevel="0" collapsed="false">
      <c r="A59" s="5" t="s">
        <v>56</v>
      </c>
      <c r="B59" s="6" t="n">
        <f aca="false">Recargas!F37</f>
        <v>1.2</v>
      </c>
    </row>
    <row r="60" customFormat="false" ht="15" hidden="false" customHeight="false" outlineLevel="0" collapsed="false">
      <c r="A60" s="5" t="s">
        <v>57</v>
      </c>
      <c r="B60" s="6" t="n">
        <f aca="false">Recargas!F41</f>
        <v>1.2</v>
      </c>
    </row>
    <row r="61" customFormat="false" ht="15" hidden="false" customHeight="false" outlineLevel="0" collapsed="false">
      <c r="A61" s="5" t="s">
        <v>58</v>
      </c>
      <c r="B61" s="6" t="n">
        <f aca="false">Recargas!F45</f>
        <v>2.3143</v>
      </c>
    </row>
    <row r="62" customFormat="false" ht="15" hidden="false" customHeight="false" outlineLevel="0" collapsed="false">
      <c r="A62" s="5" t="s">
        <v>59</v>
      </c>
      <c r="B62" s="6" t="n">
        <f aca="false">Recargas!F50</f>
        <v>1.662</v>
      </c>
    </row>
    <row r="63" customFormat="false" ht="15" hidden="false" customHeight="false" outlineLevel="0" collapsed="false">
      <c r="A63" s="5" t="s">
        <v>60</v>
      </c>
      <c r="B63" s="6" t="n">
        <f aca="false">Recargas!F54</f>
        <v>1.2</v>
      </c>
    </row>
    <row r="64" customFormat="false" ht="15" hidden="false" customHeight="false" outlineLevel="0" collapsed="false">
      <c r="A64" s="5" t="s">
        <v>61</v>
      </c>
      <c r="B64" s="6" t="n">
        <f aca="false">Recargas!F58</f>
        <v>1.2</v>
      </c>
    </row>
    <row r="65" customFormat="false" ht="15" hidden="false" customHeight="false" outlineLevel="0" collapsed="false">
      <c r="A65" s="5" t="s">
        <v>62</v>
      </c>
      <c r="B65" s="6" t="n">
        <f aca="false">Recargas!F62</f>
        <v>1.8324</v>
      </c>
    </row>
    <row r="66" customFormat="false" ht="15" hidden="false" customHeight="false" outlineLevel="0" collapsed="false">
      <c r="A66" s="5" t="s">
        <v>63</v>
      </c>
      <c r="B66" s="6" t="n">
        <f aca="false">Recargas!F66</f>
        <v>1.732</v>
      </c>
    </row>
    <row r="67" customFormat="false" ht="15" hidden="false" customHeight="false" outlineLevel="0" collapsed="false">
      <c r="A67" s="5" t="s">
        <v>64</v>
      </c>
      <c r="B67" s="6" t="n">
        <f aca="false">Recargas!F70</f>
        <v>1.4925</v>
      </c>
    </row>
    <row r="68" customFormat="false" ht="15" hidden="false" customHeight="false" outlineLevel="0" collapsed="false">
      <c r="A68" s="5" t="s">
        <v>65</v>
      </c>
      <c r="B68" s="6" t="n">
        <f aca="false">Recargas!F74</f>
        <v>1.2</v>
      </c>
    </row>
    <row r="69" customFormat="false" ht="15" hidden="false" customHeight="false" outlineLevel="0" collapsed="false">
      <c r="A69" s="5" t="s">
        <v>66</v>
      </c>
      <c r="B69" s="6" t="n">
        <f aca="false">Recargas!F78</f>
        <v>1.2</v>
      </c>
    </row>
    <row r="70" customFormat="false" ht="15" hidden="false" customHeight="false" outlineLevel="0" collapsed="false">
      <c r="A70" s="5" t="s">
        <v>67</v>
      </c>
      <c r="B70" s="6" t="n">
        <f aca="false">Recargas!F82</f>
        <v>6</v>
      </c>
    </row>
    <row r="71" customFormat="false" ht="15" hidden="false" customHeight="false" outlineLevel="0" collapsed="false">
      <c r="A71" s="5" t="s">
        <v>68</v>
      </c>
      <c r="B71" s="6" t="n">
        <f aca="false">Recargas!F86</f>
        <v>1.2</v>
      </c>
    </row>
    <row r="72" customFormat="false" ht="15" hidden="false" customHeight="false" outlineLevel="0" collapsed="false">
      <c r="A72" s="5" t="s">
        <v>69</v>
      </c>
      <c r="B72" s="6" t="n">
        <f aca="false">Recargas!F90</f>
        <v>1.2</v>
      </c>
    </row>
    <row r="73" customFormat="false" ht="15" hidden="false" customHeight="false" outlineLevel="0" collapsed="false">
      <c r="A73" s="5" t="s">
        <v>70</v>
      </c>
      <c r="B73" s="6" t="n">
        <f aca="false">Recargas!F94</f>
        <v>1.2</v>
      </c>
    </row>
    <row r="74" customFormat="false" ht="15" hidden="false" customHeight="false" outlineLevel="0" collapsed="false">
      <c r="A74" s="5" t="s">
        <v>71</v>
      </c>
      <c r="B74" s="6" t="n">
        <f aca="false">Recargas!F98</f>
        <v>24</v>
      </c>
    </row>
    <row r="75" customFormat="false" ht="15" hidden="false" customHeight="false" outlineLevel="0" collapsed="false">
      <c r="A75" s="7" t="s">
        <v>72</v>
      </c>
      <c r="B75" s="8" t="n">
        <f aca="false">SUM(B51:B74)</f>
        <v>61.6587</v>
      </c>
    </row>
    <row r="77" customFormat="false" ht="15" hidden="false" customHeight="false" outlineLevel="0" collapsed="false">
      <c r="A77" s="4" t="s">
        <v>73</v>
      </c>
      <c r="B77" s="9" t="n">
        <f aca="false">B10+B33+B48+B75</f>
        <v>241.0817886945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3" min="3" style="0" width="7"/>
    <col collapsed="false" customWidth="true" hidden="false" outlineLevel="0" max="6" min="4" style="0" width="9"/>
    <col collapsed="false" customWidth="true" hidden="false" outlineLevel="0" max="7" min="7" style="0" width="10"/>
    <col collapsed="false" customWidth="true" hidden="false" outlineLevel="0" max="8" min="8" style="0" width="30"/>
    <col collapsed="false" customWidth="true" hidden="false" outlineLevel="0" max="9" min="9" style="0" width="16"/>
    <col collapsed="false" customWidth="true" hidden="false" outlineLevel="0" max="10" min="10" style="0" width="46"/>
    <col collapsed="false" customWidth="true" hidden="false" outlineLevel="0" max="13" min="11" style="0" width="40"/>
    <col collapsed="false" customWidth="true" hidden="false" outlineLevel="0" max="14" min="14" style="0" width="50"/>
  </cols>
  <sheetData>
    <row r="1" customFormat="false" ht="16.15" hidden="false" customHeight="false" outlineLevel="0" collapsed="false">
      <c r="A1" s="1" t="s">
        <v>74</v>
      </c>
    </row>
    <row r="2" customFormat="false" ht="15" hidden="false" customHeight="false" outlineLevel="0" collapsed="false">
      <c r="A2" s="2" t="s">
        <v>75</v>
      </c>
    </row>
    <row r="4" customFormat="false" ht="15" hidden="false" customHeight="false" outlineLevel="0" collapsed="false">
      <c r="A4" s="3" t="s">
        <v>76</v>
      </c>
      <c r="B4" s="3" t="s">
        <v>77</v>
      </c>
      <c r="C4" s="3" t="s">
        <v>78</v>
      </c>
      <c r="D4" s="3" t="s">
        <v>79</v>
      </c>
      <c r="E4" s="3" t="s">
        <v>80</v>
      </c>
      <c r="F4" s="3" t="s">
        <v>81</v>
      </c>
      <c r="G4" s="3" t="s">
        <v>82</v>
      </c>
      <c r="H4" s="3" t="s">
        <v>83</v>
      </c>
      <c r="I4" s="3" t="s">
        <v>84</v>
      </c>
      <c r="J4" s="3" t="s">
        <v>85</v>
      </c>
      <c r="K4" s="3" t="s">
        <v>86</v>
      </c>
      <c r="L4" s="3" t="s">
        <v>87</v>
      </c>
      <c r="M4" s="3" t="s">
        <v>88</v>
      </c>
      <c r="N4" s="3" t="s">
        <v>89</v>
      </c>
    </row>
    <row r="5" customFormat="false" ht="35.05" hidden="false" customHeight="false" outlineLevel="0" collapsed="false">
      <c r="A5" s="4" t="s">
        <v>5</v>
      </c>
      <c r="B5" s="4"/>
      <c r="C5" s="4"/>
      <c r="D5" s="4"/>
      <c r="E5" s="4"/>
      <c r="F5" s="4"/>
      <c r="G5" s="9" t="n">
        <f aca="false">SUM(G6:G6)</f>
        <v>6.3826</v>
      </c>
      <c r="H5" s="4" t="str">
        <f aca="false">"Manuales: "&amp;Referencias!$C$166&amp;" máq., "&amp;Referencias!$C$234&amp;" t."&amp;" · "&amp;"Carros: "&amp;Referencias!$C$235&amp;" máq., "&amp;Referencias!$C$236&amp;" t."</f>
        <v>Manuales: 1 máq., 1 t. · Carros: 1 máq., 1 t.</v>
      </c>
      <c r="I5" s="4" t="s">
        <v>90</v>
      </c>
      <c r="J5" s="4"/>
      <c r="K5" s="4"/>
      <c r="L5" s="4" t="s">
        <v>91</v>
      </c>
      <c r="M5" s="10" t="s">
        <v>92</v>
      </c>
      <c r="N5" s="4"/>
    </row>
    <row r="6" customFormat="false" ht="23.85" hidden="false" customHeight="false" outlineLevel="0" collapsed="false">
      <c r="A6" s="11" t="s">
        <v>93</v>
      </c>
      <c r="B6" s="11" t="s">
        <v>94</v>
      </c>
      <c r="C6" s="12" t="n">
        <f aca="false">Referencias!$C$166</f>
        <v>1</v>
      </c>
      <c r="D6" s="13" t="n">
        <f aca="false">Referencias!$C$18/1000</f>
        <v>1.88</v>
      </c>
      <c r="E6" s="13" t="n">
        <f aca="false">Referencias!$C$17/1000</f>
        <v>3.395</v>
      </c>
      <c r="F6" s="13" t="n">
        <f aca="false">Referencias!$C$19/1000</f>
        <v>1.55</v>
      </c>
      <c r="G6" s="13" t="n">
        <f aca="false">C6*D6*E6</f>
        <v>6.3826</v>
      </c>
      <c r="H6" s="11" t="s">
        <v>95</v>
      </c>
      <c r="I6" s="11" t="s">
        <v>96</v>
      </c>
      <c r="J6" s="11" t="s">
        <v>97</v>
      </c>
      <c r="K6" s="14" t="s">
        <v>98</v>
      </c>
      <c r="L6" s="11" t="s">
        <v>99</v>
      </c>
      <c r="M6" s="14" t="s">
        <v>92</v>
      </c>
      <c r="N6" s="15" t="s">
        <v>100</v>
      </c>
    </row>
    <row r="8" customFormat="false" ht="35.05" hidden="false" customHeight="false" outlineLevel="0" collapsed="false">
      <c r="A8" s="4" t="s">
        <v>6</v>
      </c>
      <c r="B8" s="4"/>
      <c r="C8" s="4"/>
      <c r="D8" s="4"/>
      <c r="E8" s="4"/>
      <c r="F8" s="4"/>
      <c r="G8" s="9" t="n">
        <f aca="false">SUM(G9:G11)</f>
        <v>9.182</v>
      </c>
      <c r="H8" s="4" t="str">
        <f aca="false">"Manuales: "&amp;Referencias!$C$168&amp;" máq., "&amp;Referencias!$C$237&amp;" t."&amp;" · "&amp;"Carros: "&amp;Referencias!$C$235&amp;" máq., "&amp;Referencias!$C$236&amp;" t."</f>
        <v>Manuales: 1 máq., 1 t. · Carros: 1 máq., 1 t.</v>
      </c>
      <c r="I8" s="4" t="s">
        <v>101</v>
      </c>
      <c r="J8" s="4"/>
      <c r="K8" s="4"/>
      <c r="L8" s="4" t="s">
        <v>102</v>
      </c>
      <c r="M8" s="10" t="s">
        <v>92</v>
      </c>
      <c r="N8" s="4"/>
    </row>
    <row r="9" customFormat="false" ht="23.85" hidden="false" customHeight="false" outlineLevel="0" collapsed="false">
      <c r="A9" s="5" t="s">
        <v>103</v>
      </c>
      <c r="B9" s="5" t="s">
        <v>94</v>
      </c>
      <c r="C9" s="16" t="n">
        <f aca="false">Referencias!$C$168</f>
        <v>1</v>
      </c>
      <c r="D9" s="6" t="n">
        <f aca="false">Referencias!$C$21/1000</f>
        <v>1.62</v>
      </c>
      <c r="E9" s="6" t="n">
        <f aca="false">Referencias!$C$20/1000</f>
        <v>3.1</v>
      </c>
      <c r="F9" s="6" t="n">
        <f aca="false">Referencias!$C$22/1000</f>
        <v>1.6</v>
      </c>
      <c r="G9" s="6" t="n">
        <f aca="false">C9*D9*E9</f>
        <v>5.022</v>
      </c>
      <c r="H9" s="5" t="s">
        <v>104</v>
      </c>
      <c r="I9" s="5" t="s">
        <v>105</v>
      </c>
      <c r="J9" s="5" t="s">
        <v>106</v>
      </c>
      <c r="K9" s="17" t="s">
        <v>107</v>
      </c>
      <c r="L9" s="5" t="s">
        <v>108</v>
      </c>
      <c r="M9" s="17" t="s">
        <v>92</v>
      </c>
      <c r="N9" s="18" t="s">
        <v>109</v>
      </c>
    </row>
    <row r="10" customFormat="false" ht="23.85" hidden="false" customHeight="false" outlineLevel="0" collapsed="false">
      <c r="A10" s="5" t="s">
        <v>110</v>
      </c>
      <c r="B10" s="5" t="s">
        <v>94</v>
      </c>
      <c r="C10" s="16" t="n">
        <f aca="false">Referencias!$C$170</f>
        <v>1</v>
      </c>
      <c r="D10" s="6" t="n">
        <f aca="false">Referencias!$C$27/1000</f>
        <v>1.3</v>
      </c>
      <c r="E10" s="6" t="n">
        <f aca="false">Referencias!$C$26/1000</f>
        <v>2.5</v>
      </c>
      <c r="F10" s="6" t="n">
        <f aca="false">Referencias!$C$28/1000</f>
        <v>0.35</v>
      </c>
      <c r="G10" s="6" t="n">
        <f aca="false">C10*D10*E10</f>
        <v>3.25</v>
      </c>
      <c r="H10" s="5" t="s">
        <v>111</v>
      </c>
      <c r="I10" s="5" t="s">
        <v>112</v>
      </c>
      <c r="J10" s="5" t="s">
        <v>113</v>
      </c>
      <c r="K10" s="17" t="s">
        <v>114</v>
      </c>
      <c r="L10" s="5" t="s">
        <v>115</v>
      </c>
      <c r="M10" s="17" t="s">
        <v>116</v>
      </c>
      <c r="N10" s="18" t="s">
        <v>117</v>
      </c>
    </row>
    <row r="11" customFormat="false" ht="23.85" hidden="false" customHeight="false" outlineLevel="0" collapsed="false">
      <c r="A11" s="11" t="s">
        <v>118</v>
      </c>
      <c r="B11" s="11" t="s">
        <v>94</v>
      </c>
      <c r="C11" s="12" t="n">
        <f aca="false">Referencias!$C$172</f>
        <v>1</v>
      </c>
      <c r="D11" s="13" t="n">
        <f aca="false">Referencias!$C$8/1000</f>
        <v>0.7</v>
      </c>
      <c r="E11" s="13" t="n">
        <f aca="false">Referencias!$C$7/1000</f>
        <v>1.3</v>
      </c>
      <c r="F11" s="15" t="s">
        <v>119</v>
      </c>
      <c r="G11" s="13" t="n">
        <f aca="false">C11*D11*E11</f>
        <v>0.91</v>
      </c>
      <c r="H11" s="11" t="s">
        <v>120</v>
      </c>
      <c r="I11" s="11" t="s">
        <v>121</v>
      </c>
      <c r="J11" s="11" t="s">
        <v>122</v>
      </c>
      <c r="K11" s="14" t="s">
        <v>116</v>
      </c>
      <c r="L11" s="11" t="s">
        <v>123</v>
      </c>
      <c r="M11" s="14" t="s">
        <v>116</v>
      </c>
      <c r="N11" s="15" t="s">
        <v>124</v>
      </c>
    </row>
    <row r="13" customFormat="false" ht="35.05" hidden="false" customHeight="false" outlineLevel="0" collapsed="false">
      <c r="A13" s="4" t="s">
        <v>7</v>
      </c>
      <c r="B13" s="4"/>
      <c r="C13" s="4"/>
      <c r="D13" s="4"/>
      <c r="E13" s="4"/>
      <c r="F13" s="4"/>
      <c r="G13" s="9" t="n">
        <f aca="false">SUM(G14:G15)</f>
        <v>4.035</v>
      </c>
      <c r="H13" s="4" t="str">
        <f aca="false">"Manuales: "&amp;Referencias!$C$173&amp;" máq., "&amp;Referencias!$C$238&amp;" t."&amp;" · "&amp;"Carros: "&amp;Referencias!$C$239&amp;" máq., "&amp;Referencias!$C$240&amp;" t."</f>
        <v>Manuales: 2 máq., 1 t. · Carros: 0 máq., 1 t.</v>
      </c>
      <c r="I13" s="4" t="s">
        <v>125</v>
      </c>
      <c r="J13" s="4"/>
      <c r="K13" s="4"/>
      <c r="L13" s="4" t="s">
        <v>126</v>
      </c>
      <c r="M13" s="10" t="s">
        <v>92</v>
      </c>
      <c r="N13" s="4"/>
    </row>
    <row r="14" customFormat="false" ht="23.85" hidden="false" customHeight="false" outlineLevel="0" collapsed="false">
      <c r="A14" s="5" t="s">
        <v>127</v>
      </c>
      <c r="B14" s="5" t="s">
        <v>94</v>
      </c>
      <c r="C14" s="16" t="n">
        <f aca="false">Referencias!$C$173</f>
        <v>2</v>
      </c>
      <c r="D14" s="6" t="n">
        <f aca="false">Referencias!$C$72/1000</f>
        <v>0.75</v>
      </c>
      <c r="E14" s="6" t="n">
        <f aca="false">Referencias!$C$71/1000</f>
        <v>1.25</v>
      </c>
      <c r="F14" s="6" t="n">
        <f aca="false">Referencias!$C$73/1000</f>
        <v>1.2</v>
      </c>
      <c r="G14" s="6" t="n">
        <f aca="false">C14*D14*E14</f>
        <v>1.875</v>
      </c>
      <c r="H14" s="5" t="s">
        <v>128</v>
      </c>
      <c r="I14" s="5" t="s">
        <v>129</v>
      </c>
      <c r="J14" s="5" t="s">
        <v>130</v>
      </c>
      <c r="K14" s="17" t="s">
        <v>131</v>
      </c>
      <c r="L14" s="5" t="s">
        <v>132</v>
      </c>
      <c r="M14" s="17" t="s">
        <v>92</v>
      </c>
      <c r="N14" s="18" t="s">
        <v>133</v>
      </c>
    </row>
    <row r="15" customFormat="false" ht="23.85" hidden="false" customHeight="false" outlineLevel="0" collapsed="false">
      <c r="A15" s="11" t="s">
        <v>134</v>
      </c>
      <c r="B15" s="11" t="s">
        <v>94</v>
      </c>
      <c r="C15" s="12" t="n">
        <f aca="false">Referencias!$C$174</f>
        <v>3</v>
      </c>
      <c r="D15" s="13" t="n">
        <f aca="false">Referencias!$C$5/1000</f>
        <v>0.6</v>
      </c>
      <c r="E15" s="13" t="n">
        <f aca="false">Referencias!$C$4/1000</f>
        <v>1.2</v>
      </c>
      <c r="F15" s="13" t="n">
        <f aca="false">Referencias!$C$6/1000</f>
        <v>2</v>
      </c>
      <c r="G15" s="13" t="n">
        <f aca="false">C15*D15*E15</f>
        <v>2.16</v>
      </c>
      <c r="H15" s="11" t="s">
        <v>135</v>
      </c>
      <c r="I15" s="11" t="s">
        <v>136</v>
      </c>
      <c r="J15" s="11" t="s">
        <v>137</v>
      </c>
      <c r="K15" s="14" t="s">
        <v>116</v>
      </c>
      <c r="L15" s="11" t="s">
        <v>138</v>
      </c>
      <c r="M15" s="14" t="s">
        <v>116</v>
      </c>
      <c r="N15" s="15"/>
    </row>
    <row r="17" customFormat="false" ht="35.05" hidden="false" customHeight="false" outlineLevel="0" collapsed="false">
      <c r="A17" s="4" t="s">
        <v>8</v>
      </c>
      <c r="B17" s="4"/>
      <c r="C17" s="4"/>
      <c r="D17" s="4"/>
      <c r="E17" s="4"/>
      <c r="F17" s="4"/>
      <c r="G17" s="9" t="n">
        <f aca="false">SUM(G18:G20)</f>
        <v>3.87</v>
      </c>
      <c r="H17" s="4" t="str">
        <f aca="false">"Manuales: "&amp;Referencias!$C$175&amp;" máq., "&amp;Referencias!$C$241&amp;" t."&amp;" · "&amp;"Carros: "&amp;Referencias!$C$176&amp;" máq., "&amp;Referencias!$C$242&amp;" t."</f>
        <v>Manuales: 2 máq., 2 t. · Carros: 1 máq., 1 t.</v>
      </c>
      <c r="I17" s="4" t="s">
        <v>139</v>
      </c>
      <c r="J17" s="4"/>
      <c r="K17" s="4"/>
      <c r="L17" s="4" t="s">
        <v>140</v>
      </c>
      <c r="M17" s="10" t="s">
        <v>92</v>
      </c>
      <c r="N17" s="4"/>
    </row>
    <row r="18" customFormat="false" ht="23.85" hidden="false" customHeight="false" outlineLevel="0" collapsed="false">
      <c r="A18" s="5" t="s">
        <v>141</v>
      </c>
      <c r="B18" s="5" t="s">
        <v>94</v>
      </c>
      <c r="C18" s="16" t="n">
        <f aca="false">Referencias!$C$175</f>
        <v>2</v>
      </c>
      <c r="D18" s="6" t="n">
        <f aca="false">Referencias!$C$75/1000</f>
        <v>0.4</v>
      </c>
      <c r="E18" s="6" t="n">
        <f aca="false">Referencias!$C$74/1000</f>
        <v>0.95</v>
      </c>
      <c r="F18" s="6" t="n">
        <f aca="false">Referencias!$C$76/1000</f>
        <v>1.05</v>
      </c>
      <c r="G18" s="6" t="n">
        <f aca="false">C18*D18*E18</f>
        <v>0.76</v>
      </c>
      <c r="H18" s="5" t="s">
        <v>142</v>
      </c>
      <c r="I18" s="5" t="s">
        <v>143</v>
      </c>
      <c r="J18" s="5" t="s">
        <v>144</v>
      </c>
      <c r="K18" s="17" t="s">
        <v>145</v>
      </c>
      <c r="L18" s="5" t="s">
        <v>146</v>
      </c>
      <c r="M18" s="17" t="s">
        <v>92</v>
      </c>
      <c r="N18" s="18" t="s">
        <v>147</v>
      </c>
    </row>
    <row r="19" customFormat="false" ht="23.85" hidden="false" customHeight="false" outlineLevel="0" collapsed="false">
      <c r="A19" s="5" t="s">
        <v>148</v>
      </c>
      <c r="B19" s="5" t="s">
        <v>94</v>
      </c>
      <c r="C19" s="16" t="n">
        <f aca="false">Referencias!$C$176</f>
        <v>1</v>
      </c>
      <c r="D19" s="6" t="n">
        <f aca="false">Referencias!$C$75/1000</f>
        <v>0.4</v>
      </c>
      <c r="E19" s="6" t="n">
        <f aca="false">Referencias!$C$74/1000</f>
        <v>0.95</v>
      </c>
      <c r="F19" s="6" t="n">
        <f aca="false">Referencias!$C$76/1000</f>
        <v>1.05</v>
      </c>
      <c r="G19" s="6" t="n">
        <f aca="false">C19*D19*E19</f>
        <v>0.38</v>
      </c>
      <c r="H19" s="5" t="s">
        <v>142</v>
      </c>
      <c r="I19" s="5" t="s">
        <v>149</v>
      </c>
      <c r="J19" s="5" t="s">
        <v>144</v>
      </c>
      <c r="K19" s="17" t="s">
        <v>145</v>
      </c>
      <c r="L19" s="5" t="s">
        <v>150</v>
      </c>
      <c r="M19" s="17" t="s">
        <v>92</v>
      </c>
      <c r="N19" s="18" t="s">
        <v>147</v>
      </c>
    </row>
    <row r="20" customFormat="false" ht="23.85" hidden="false" customHeight="false" outlineLevel="0" collapsed="false">
      <c r="A20" s="11" t="s">
        <v>151</v>
      </c>
      <c r="B20" s="11" t="s">
        <v>94</v>
      </c>
      <c r="C20" s="12" t="n">
        <f aca="false">Referencias!$C$177</f>
        <v>3</v>
      </c>
      <c r="D20" s="13" t="n">
        <f aca="false">Referencias!$C$8/1000</f>
        <v>0.7</v>
      </c>
      <c r="E20" s="13" t="n">
        <f aca="false">Referencias!$C$7/1000</f>
        <v>1.3</v>
      </c>
      <c r="F20" s="15" t="s">
        <v>119</v>
      </c>
      <c r="G20" s="13" t="n">
        <f aca="false">C20*D20*E20</f>
        <v>2.73</v>
      </c>
      <c r="H20" s="11" t="s">
        <v>120</v>
      </c>
      <c r="I20" s="11" t="s">
        <v>152</v>
      </c>
      <c r="J20" s="11" t="s">
        <v>122</v>
      </c>
      <c r="K20" s="14" t="s">
        <v>116</v>
      </c>
      <c r="L20" s="11" t="s">
        <v>153</v>
      </c>
      <c r="M20" s="14" t="s">
        <v>116</v>
      </c>
      <c r="N20" s="15" t="s">
        <v>124</v>
      </c>
    </row>
    <row r="22" customFormat="false" ht="35.05" hidden="false" customHeight="false" outlineLevel="0" collapsed="false">
      <c r="A22" s="4" t="s">
        <v>9</v>
      </c>
      <c r="B22" s="4"/>
      <c r="C22" s="4"/>
      <c r="D22" s="4"/>
      <c r="E22" s="4"/>
      <c r="F22" s="4"/>
      <c r="G22" s="9" t="n">
        <f aca="false">SUM(G23:G25)</f>
        <v>5.04</v>
      </c>
      <c r="H22" s="4" t="str">
        <f aca="false">"Manuales: "&amp;Referencias!$C$178&amp;" máq., "&amp;Referencias!$C$243&amp;" t."&amp;" · "&amp;"Carros: "&amp;Referencias!$C$179&amp;" máq., "&amp;Referencias!$C$244&amp;" t."</f>
        <v>Manuales: 4 máq., 2 t. · Carros: 1 máq., 1 t.</v>
      </c>
      <c r="I22" s="4" t="s">
        <v>154</v>
      </c>
      <c r="J22" s="4"/>
      <c r="K22" s="4"/>
      <c r="L22" s="4" t="s">
        <v>155</v>
      </c>
      <c r="M22" s="10" t="s">
        <v>92</v>
      </c>
      <c r="N22" s="4"/>
    </row>
    <row r="23" customFormat="false" ht="23.85" hidden="false" customHeight="false" outlineLevel="0" collapsed="false">
      <c r="A23" s="5" t="s">
        <v>156</v>
      </c>
      <c r="B23" s="5" t="s">
        <v>94</v>
      </c>
      <c r="C23" s="16" t="n">
        <f aca="false">Referencias!$C$178</f>
        <v>4</v>
      </c>
      <c r="D23" s="6" t="n">
        <f aca="false">Referencias!$C$78/100</f>
        <v>0.462</v>
      </c>
      <c r="E23" s="6" t="n">
        <f aca="false">Referencias!$C$77/100</f>
        <v>1</v>
      </c>
      <c r="F23" s="6" t="n">
        <f aca="false">Referencias!$C$79/100</f>
        <v>1.1</v>
      </c>
      <c r="G23" s="6" t="n">
        <f aca="false">C23*D23*E23</f>
        <v>1.848</v>
      </c>
      <c r="H23" s="5" t="s">
        <v>157</v>
      </c>
      <c r="I23" s="5" t="s">
        <v>158</v>
      </c>
      <c r="J23" s="5" t="s">
        <v>159</v>
      </c>
      <c r="K23" s="17" t="s">
        <v>160</v>
      </c>
      <c r="L23" s="5" t="s">
        <v>161</v>
      </c>
      <c r="M23" s="17" t="s">
        <v>92</v>
      </c>
      <c r="N23" s="18" t="s">
        <v>162</v>
      </c>
    </row>
    <row r="24" customFormat="false" ht="23.85" hidden="false" customHeight="false" outlineLevel="0" collapsed="false">
      <c r="A24" s="5" t="s">
        <v>163</v>
      </c>
      <c r="B24" s="5" t="s">
        <v>94</v>
      </c>
      <c r="C24" s="16" t="n">
        <f aca="false">Referencias!$C$179</f>
        <v>1</v>
      </c>
      <c r="D24" s="6" t="n">
        <f aca="false">Referencias!$C$78/100</f>
        <v>0.462</v>
      </c>
      <c r="E24" s="6" t="n">
        <f aca="false">Referencias!$C$77/100</f>
        <v>1</v>
      </c>
      <c r="F24" s="6" t="n">
        <f aca="false">Referencias!$C$79/100</f>
        <v>1.1</v>
      </c>
      <c r="G24" s="6" t="n">
        <f aca="false">C24*D24*E24</f>
        <v>0.462</v>
      </c>
      <c r="H24" s="5" t="s">
        <v>157</v>
      </c>
      <c r="I24" s="5" t="s">
        <v>164</v>
      </c>
      <c r="J24" s="5" t="s">
        <v>159</v>
      </c>
      <c r="K24" s="17" t="s">
        <v>160</v>
      </c>
      <c r="L24" s="5" t="s">
        <v>165</v>
      </c>
      <c r="M24" s="17" t="s">
        <v>92</v>
      </c>
      <c r="N24" s="18" t="s">
        <v>162</v>
      </c>
    </row>
    <row r="25" customFormat="false" ht="23.85" hidden="false" customHeight="false" outlineLevel="0" collapsed="false">
      <c r="A25" s="11" t="s">
        <v>166</v>
      </c>
      <c r="B25" s="11" t="s">
        <v>94</v>
      </c>
      <c r="C25" s="12" t="n">
        <f aca="false">Referencias!$C$180</f>
        <v>3</v>
      </c>
      <c r="D25" s="13" t="n">
        <f aca="false">Referencias!$C$8/1000</f>
        <v>0.7</v>
      </c>
      <c r="E25" s="13" t="n">
        <f aca="false">Referencias!$C$7/1000</f>
        <v>1.3</v>
      </c>
      <c r="F25" s="15" t="s">
        <v>119</v>
      </c>
      <c r="G25" s="13" t="n">
        <f aca="false">C25*D25*E25</f>
        <v>2.73</v>
      </c>
      <c r="H25" s="11" t="s">
        <v>120</v>
      </c>
      <c r="I25" s="11" t="s">
        <v>167</v>
      </c>
      <c r="J25" s="11" t="s">
        <v>122</v>
      </c>
      <c r="K25" s="14" t="s">
        <v>116</v>
      </c>
      <c r="L25" s="11" t="s">
        <v>168</v>
      </c>
      <c r="M25" s="14" t="s">
        <v>116</v>
      </c>
      <c r="N25" s="15" t="s">
        <v>124</v>
      </c>
    </row>
  </sheetData>
  <hyperlinks>
    <hyperlink ref="M5" r:id="rId1" display="https://drive.google.com/file/d/1SwGuppOSsaAXO29onhyWUH40O1h_4XmG/view"/>
    <hyperlink ref="K6" r:id="rId2" display="https://www.exapro.com/ermak-hgs-2600-x-6-p240816233/"/>
    <hyperlink ref="M6" r:id="rId3" display="https://drive.google.com/file/d/1SwGuppOSsaAXO29onhyWUH40O1h_4XmG/view"/>
    <hyperlink ref="M8" r:id="rId4" display="https://drive.google.com/file/d/1SwGuppOSsaAXO29onhyWUH40O1h_4XmG/view"/>
    <hyperlink ref="K9" r:id="rId5" display="https://www.goldsupplier.com/provide/p106252035.html"/>
    <hyperlink ref="M9" r:id="rId6" display="https://drive.google.com/file/d/1SwGuppOSsaAXO29onhyWUH40O1h_4XmG/view"/>
    <hyperlink ref="K10" r:id="rId7" display="https://www.workplace-products.co.uk/media/wysiwyg/infographics/handling-lifting/3000KG%20SINGLE%20SCISSOR%20LIFT%20TABLES.pdf"/>
    <hyperlink ref="M10" r:id="rId8" display="https://drive.google.com/file/d/1CxHINAnd0jSBd5QuU5_82_sKCJAVXu9r/view"/>
    <hyperlink ref="K11" r:id="rId9" display="https://drive.google.com/file/d/1CxHINAnd0jSBd5QuU5_82_sKCJAVXu9r/view"/>
    <hyperlink ref="M11" r:id="rId10" display="https://drive.google.com/file/d/1CxHINAnd0jSBd5QuU5_82_sKCJAVXu9r/view"/>
    <hyperlink ref="M13" r:id="rId11" display="https://drive.google.com/file/d/1SwGuppOSsaAXO29onhyWUH40O1h_4XmG/view"/>
    <hyperlink ref="K14" r:id="rId12" display="https://drive.google.com/file/d/12VJ8POMn2I0VnGP2nnL7FZAyA2cLw37y/view"/>
    <hyperlink ref="M14" r:id="rId13" display="https://drive.google.com/file/d/1SwGuppOSsaAXO29onhyWUH40O1h_4XmG/view"/>
    <hyperlink ref="K15" r:id="rId14" display="https://drive.google.com/file/d/1CxHINAnd0jSBd5QuU5_82_sKCJAVXu9r/view"/>
    <hyperlink ref="M15" r:id="rId15" display="https://drive.google.com/file/d/1CxHINAnd0jSBd5QuU5_82_sKCJAVXu9r/view"/>
    <hyperlink ref="M17" r:id="rId16" display="https://drive.google.com/file/d/1SwGuppOSsaAXO29onhyWUH40O1h_4XmG/view"/>
    <hyperlink ref="K18" r:id="rId17" display="https://drive.google.com/file/d/1DD4vE8sv9Qt4VWxQzgCuqXfTtXliDViB/view"/>
    <hyperlink ref="M18" r:id="rId18" display="https://drive.google.com/file/d/1SwGuppOSsaAXO29onhyWUH40O1h_4XmG/view"/>
    <hyperlink ref="K19" r:id="rId19" display="https://drive.google.com/file/d/1DD4vE8sv9Qt4VWxQzgCuqXfTtXliDViB/view"/>
    <hyperlink ref="M19" r:id="rId20" display="https://drive.google.com/file/d/1SwGuppOSsaAXO29onhyWUH40O1h_4XmG/view"/>
    <hyperlink ref="K20" r:id="rId21" display="https://drive.google.com/file/d/1CxHINAnd0jSBd5QuU5_82_sKCJAVXu9r/view"/>
    <hyperlink ref="M20" r:id="rId22" display="https://drive.google.com/file/d/1CxHINAnd0jSBd5QuU5_82_sKCJAVXu9r/view"/>
    <hyperlink ref="M22" r:id="rId23" display="https://drive.google.com/file/d/1SwGuppOSsaAXO29onhyWUH40O1h_4XmG/view"/>
    <hyperlink ref="K23" r:id="rId24" display="https://drive.google.com/file/d/1BvF9XAzfgpqw7VGH9EFjVisbBKNz9KFx/view"/>
    <hyperlink ref="M23" r:id="rId25" display="https://drive.google.com/file/d/1SwGuppOSsaAXO29onhyWUH40O1h_4XmG/view"/>
    <hyperlink ref="K24" r:id="rId26" display="https://drive.google.com/file/d/1BvF9XAzfgpqw7VGH9EFjVisbBKNz9KFx/view"/>
    <hyperlink ref="M24" r:id="rId27" display="https://drive.google.com/file/d/1SwGuppOSsaAXO29onhyWUH40O1h_4XmG/view"/>
    <hyperlink ref="K25" r:id="rId28" display="https://drive.google.com/file/d/1CxHINAnd0jSBd5QuU5_82_sKCJAVXu9r/view"/>
    <hyperlink ref="M25" r:id="rId29" display="https://drive.google.com/file/d/1CxHINAnd0jSBd5QuU5_82_sKCJAVXu9r/vie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7"/>
    <col collapsed="false" customWidth="true" hidden="false" outlineLevel="0" max="5" min="3" style="0" width="9"/>
    <col collapsed="false" customWidth="true" hidden="false" outlineLevel="0" max="6" min="6" style="0" width="10"/>
    <col collapsed="false" customWidth="true" hidden="false" outlineLevel="0" max="7" min="7" style="0" width="30"/>
    <col collapsed="false" customWidth="true" hidden="false" outlineLevel="0" max="8" min="8" style="0" width="16"/>
    <col collapsed="false" customWidth="true" hidden="false" outlineLevel="0" max="9" min="9" style="0" width="46"/>
    <col collapsed="false" customWidth="true" hidden="false" outlineLevel="0" max="12" min="10" style="0" width="40"/>
    <col collapsed="false" customWidth="true" hidden="false" outlineLevel="0" max="13" min="13" style="0" width="50"/>
  </cols>
  <sheetData>
    <row r="1" customFormat="false" ht="16.15" hidden="false" customHeight="false" outlineLevel="0" collapsed="false">
      <c r="A1" s="1" t="s">
        <v>169</v>
      </c>
    </row>
    <row r="2" customFormat="false" ht="15" hidden="false" customHeight="false" outlineLevel="0" collapsed="false">
      <c r="A2" s="2" t="s">
        <v>75</v>
      </c>
    </row>
    <row r="4" customFormat="false" ht="15" hidden="false" customHeight="false" outlineLevel="0" collapsed="false">
      <c r="A4" s="3" t="s">
        <v>76</v>
      </c>
      <c r="B4" s="3" t="s">
        <v>78</v>
      </c>
      <c r="C4" s="3" t="s">
        <v>79</v>
      </c>
      <c r="D4" s="3" t="s">
        <v>80</v>
      </c>
      <c r="E4" s="3" t="s">
        <v>81</v>
      </c>
      <c r="F4" s="3" t="s">
        <v>82</v>
      </c>
      <c r="G4" s="3" t="s">
        <v>83</v>
      </c>
      <c r="H4" s="3" t="s">
        <v>84</v>
      </c>
      <c r="I4" s="3" t="s">
        <v>85</v>
      </c>
      <c r="J4" s="3" t="s">
        <v>86</v>
      </c>
      <c r="K4" s="3" t="s">
        <v>87</v>
      </c>
      <c r="L4" s="3" t="s">
        <v>88</v>
      </c>
      <c r="M4" s="3" t="s">
        <v>89</v>
      </c>
    </row>
    <row r="5" customFormat="false" ht="15" hidden="false" customHeight="false" outlineLevel="0" collapsed="false">
      <c r="A5" s="4" t="s">
        <v>12</v>
      </c>
      <c r="B5" s="19" t="n">
        <f aca="false">Referencias!$C$116</f>
        <v>1</v>
      </c>
      <c r="C5" s="4"/>
      <c r="D5" s="4"/>
      <c r="E5" s="4"/>
      <c r="F5" s="9" t="n">
        <f aca="false">SUM(F6:F11)</f>
        <v>12.02</v>
      </c>
      <c r="G5" s="4" t="str">
        <f aca="false">"máquinas · turnos: "&amp;Referencias!$C$199</f>
        <v>máquinas · turnos: 2</v>
      </c>
      <c r="H5" s="4" t="s">
        <v>170</v>
      </c>
      <c r="I5" s="4"/>
      <c r="J5" s="4"/>
      <c r="K5" s="4" t="s">
        <v>171</v>
      </c>
      <c r="L5" s="10" t="s">
        <v>92</v>
      </c>
      <c r="M5" s="4"/>
    </row>
    <row r="6" customFormat="false" ht="23.85" hidden="false" customHeight="false" outlineLevel="0" collapsed="false">
      <c r="A6" s="5" t="s">
        <v>172</v>
      </c>
      <c r="B6" s="16" t="n">
        <f aca="false">Referencias!$C$116</f>
        <v>1</v>
      </c>
      <c r="C6" s="6" t="n">
        <f aca="false">Referencias!$C$24/1000</f>
        <v>1.3</v>
      </c>
      <c r="D6" s="6" t="n">
        <f aca="false">Referencias!$C$23/1000</f>
        <v>1.6</v>
      </c>
      <c r="E6" s="6" t="n">
        <f aca="false">Referencias!$C$25/1000</f>
        <v>3.32</v>
      </c>
      <c r="F6" s="6" t="n">
        <f aca="false">B6*C6*D6</f>
        <v>2.08</v>
      </c>
      <c r="G6" s="5" t="s">
        <v>173</v>
      </c>
      <c r="H6" s="5" t="s">
        <v>174</v>
      </c>
      <c r="I6" s="5" t="s">
        <v>175</v>
      </c>
      <c r="J6" s="17" t="s">
        <v>176</v>
      </c>
      <c r="K6" s="5" t="s">
        <v>171</v>
      </c>
      <c r="L6" s="17" t="s">
        <v>92</v>
      </c>
      <c r="M6" s="18" t="s">
        <v>177</v>
      </c>
    </row>
    <row r="7" customFormat="false" ht="23.85" hidden="false" customHeight="false" outlineLevel="0" collapsed="false">
      <c r="A7" s="5" t="s">
        <v>178</v>
      </c>
      <c r="B7" s="16" t="n">
        <f aca="false">Referencias!$C$116</f>
        <v>1</v>
      </c>
      <c r="C7" s="6" t="n">
        <f aca="false">Referencias!$C$30/1000</f>
        <v>1</v>
      </c>
      <c r="D7" s="6" t="n">
        <f aca="false">Referencias!$C$29/1000</f>
        <v>1.2</v>
      </c>
      <c r="E7" s="6" t="n">
        <f aca="false">Referencias!$C$31/1000</f>
        <v>1.3</v>
      </c>
      <c r="F7" s="6" t="n">
        <f aca="false">B7*C7*D7</f>
        <v>1.2</v>
      </c>
      <c r="G7" s="5" t="s">
        <v>179</v>
      </c>
      <c r="H7" s="5" t="s">
        <v>180</v>
      </c>
      <c r="I7" s="5" t="s">
        <v>181</v>
      </c>
      <c r="J7" s="17" t="s">
        <v>182</v>
      </c>
      <c r="K7" s="5" t="s">
        <v>171</v>
      </c>
      <c r="L7" s="17" t="s">
        <v>92</v>
      </c>
      <c r="M7" s="18" t="s">
        <v>183</v>
      </c>
    </row>
    <row r="8" customFormat="false" ht="23.85" hidden="false" customHeight="false" outlineLevel="0" collapsed="false">
      <c r="A8" s="5" t="s">
        <v>184</v>
      </c>
      <c r="B8" s="16" t="n">
        <f aca="false">Referencias!$C$116</f>
        <v>1</v>
      </c>
      <c r="C8" s="6" t="n">
        <f aca="false">Referencias!$C$33/1000</f>
        <v>0.55</v>
      </c>
      <c r="D8" s="6" t="n">
        <f aca="false">Referencias!$C$32/1000</f>
        <v>0.8</v>
      </c>
      <c r="E8" s="6" t="n">
        <f aca="false">Referencias!$C$34/1000</f>
        <v>1.3</v>
      </c>
      <c r="F8" s="6" t="n">
        <f aca="false">B8*C8*D8</f>
        <v>0.44</v>
      </c>
      <c r="G8" s="5" t="s">
        <v>185</v>
      </c>
      <c r="H8" s="5" t="s">
        <v>186</v>
      </c>
      <c r="I8" s="5" t="s">
        <v>187</v>
      </c>
      <c r="J8" s="17" t="s">
        <v>182</v>
      </c>
      <c r="K8" s="5" t="s">
        <v>171</v>
      </c>
      <c r="L8" s="17" t="s">
        <v>92</v>
      </c>
      <c r="M8" s="18" t="s">
        <v>188</v>
      </c>
    </row>
    <row r="9" customFormat="false" ht="23.85" hidden="false" customHeight="false" outlineLevel="0" collapsed="false">
      <c r="A9" s="5" t="s">
        <v>189</v>
      </c>
      <c r="B9" s="16" t="n">
        <f aca="false">Referencias!$C$12</f>
        <v>2</v>
      </c>
      <c r="C9" s="6" t="n">
        <f aca="false">Referencias!$C$11</f>
        <v>1.2</v>
      </c>
      <c r="D9" s="6" t="n">
        <f aca="false">Referencias!$C$10</f>
        <v>2.7</v>
      </c>
      <c r="E9" s="18" t="s">
        <v>119</v>
      </c>
      <c r="F9" s="6" t="n">
        <f aca="false">B9*C9*D9</f>
        <v>6.48</v>
      </c>
      <c r="G9" s="5" t="s">
        <v>190</v>
      </c>
      <c r="H9" s="5" t="s">
        <v>191</v>
      </c>
      <c r="I9" s="5" t="s">
        <v>192</v>
      </c>
      <c r="J9" s="17" t="s">
        <v>116</v>
      </c>
      <c r="K9" s="5" t="s">
        <v>193</v>
      </c>
      <c r="L9" s="17" t="s">
        <v>116</v>
      </c>
      <c r="M9" s="18" t="s">
        <v>194</v>
      </c>
    </row>
    <row r="10" customFormat="false" ht="23.85" hidden="false" customHeight="false" outlineLevel="0" collapsed="false">
      <c r="A10" s="5" t="s">
        <v>195</v>
      </c>
      <c r="B10" s="16" t="n">
        <f aca="false">Referencias!$C$119</f>
        <v>1</v>
      </c>
      <c r="C10" s="6" t="n">
        <f aca="false">Referencias!$C$8/1000</f>
        <v>0.7</v>
      </c>
      <c r="D10" s="6" t="n">
        <f aca="false">Referencias!$C$7/1000</f>
        <v>1.3</v>
      </c>
      <c r="E10" s="18" t="s">
        <v>119</v>
      </c>
      <c r="F10" s="6" t="n">
        <f aca="false">B10*C10*D10</f>
        <v>0.91</v>
      </c>
      <c r="G10" s="5" t="s">
        <v>196</v>
      </c>
      <c r="H10" s="5" t="s">
        <v>197</v>
      </c>
      <c r="I10" s="5" t="s">
        <v>122</v>
      </c>
      <c r="J10" s="17" t="s">
        <v>116</v>
      </c>
      <c r="K10" s="5" t="s">
        <v>198</v>
      </c>
      <c r="L10" s="17" t="s">
        <v>116</v>
      </c>
      <c r="M10" s="18" t="s">
        <v>199</v>
      </c>
    </row>
    <row r="11" customFormat="false" ht="23.85" hidden="false" customHeight="false" outlineLevel="0" collapsed="false">
      <c r="A11" s="11" t="s">
        <v>200</v>
      </c>
      <c r="B11" s="12" t="n">
        <f aca="false">Referencias!$C$120</f>
        <v>1</v>
      </c>
      <c r="C11" s="13" t="n">
        <f aca="false">Referencias!$C$8/1000</f>
        <v>0.7</v>
      </c>
      <c r="D11" s="13" t="n">
        <f aca="false">Referencias!$C$7/1000</f>
        <v>1.3</v>
      </c>
      <c r="E11" s="15" t="s">
        <v>119</v>
      </c>
      <c r="F11" s="13" t="n">
        <f aca="false">B11*C11*D11</f>
        <v>0.91</v>
      </c>
      <c r="G11" s="11" t="s">
        <v>196</v>
      </c>
      <c r="H11" s="11" t="s">
        <v>201</v>
      </c>
      <c r="I11" s="11" t="s">
        <v>122</v>
      </c>
      <c r="J11" s="14" t="s">
        <v>116</v>
      </c>
      <c r="K11" s="11" t="s">
        <v>202</v>
      </c>
      <c r="L11" s="14" t="s">
        <v>116</v>
      </c>
      <c r="M11" s="15" t="s">
        <v>199</v>
      </c>
    </row>
    <row r="13" customFormat="false" ht="15" hidden="false" customHeight="false" outlineLevel="0" collapsed="false">
      <c r="A13" s="4" t="s">
        <v>13</v>
      </c>
      <c r="B13" s="19" t="n">
        <f aca="false">Referencias!$C$121</f>
        <v>2</v>
      </c>
      <c r="C13" s="4"/>
      <c r="D13" s="4"/>
      <c r="E13" s="4"/>
      <c r="F13" s="9" t="n">
        <f aca="false">SUM(F14:F14)</f>
        <v>0</v>
      </c>
      <c r="G13" s="4" t="str">
        <f aca="false">"máquinas · turnos: "&amp;Referencias!$C$200</f>
        <v>máquinas · turnos: 2</v>
      </c>
      <c r="H13" s="4" t="s">
        <v>203</v>
      </c>
      <c r="I13" s="4"/>
      <c r="J13" s="4"/>
      <c r="K13" s="4" t="s">
        <v>204</v>
      </c>
      <c r="L13" s="10" t="s">
        <v>92</v>
      </c>
      <c r="M13" s="4"/>
    </row>
    <row r="14" customFormat="false" ht="15" hidden="false" customHeight="false" outlineLevel="0" collapsed="false">
      <c r="A14" s="11" t="s">
        <v>205</v>
      </c>
      <c r="B14" s="12" t="n">
        <f aca="false">Referencias!$C$121</f>
        <v>2</v>
      </c>
      <c r="C14" s="15" t="s">
        <v>119</v>
      </c>
      <c r="D14" s="15" t="s">
        <v>119</v>
      </c>
      <c r="E14" s="15" t="s">
        <v>119</v>
      </c>
      <c r="F14" s="20"/>
      <c r="G14" s="11"/>
      <c r="H14" s="11" t="s">
        <v>206</v>
      </c>
      <c r="I14" s="20"/>
      <c r="J14" s="20"/>
      <c r="K14" s="11" t="s">
        <v>204</v>
      </c>
      <c r="L14" s="14" t="s">
        <v>92</v>
      </c>
      <c r="M14" s="15" t="s">
        <v>207</v>
      </c>
    </row>
    <row r="16" customFormat="false" ht="15" hidden="false" customHeight="false" outlineLevel="0" collapsed="false">
      <c r="A16" s="4" t="s">
        <v>14</v>
      </c>
      <c r="B16" s="19" t="n">
        <f aca="false">Referencias!$C$122</f>
        <v>1</v>
      </c>
      <c r="C16" s="4"/>
      <c r="D16" s="4"/>
      <c r="E16" s="4"/>
      <c r="F16" s="9" t="n">
        <f aca="false">SUM(F17:F19)</f>
        <v>4.03</v>
      </c>
      <c r="G16" s="4" t="str">
        <f aca="false">"máquinas · turnos: "&amp;Referencias!$C$201</f>
        <v>máquinas · turnos: 2</v>
      </c>
      <c r="H16" s="4" t="s">
        <v>208</v>
      </c>
      <c r="I16" s="4"/>
      <c r="J16" s="4"/>
      <c r="K16" s="4" t="s">
        <v>209</v>
      </c>
      <c r="L16" s="10" t="s">
        <v>92</v>
      </c>
      <c r="M16" s="4"/>
    </row>
    <row r="17" customFormat="false" ht="23.85" hidden="false" customHeight="false" outlineLevel="0" collapsed="false">
      <c r="A17" s="5" t="s">
        <v>210</v>
      </c>
      <c r="B17" s="16" t="n">
        <f aca="false">Referencias!$C$122</f>
        <v>1</v>
      </c>
      <c r="C17" s="6" t="n">
        <f aca="false">Referencias!$C$36/1000</f>
        <v>1.2</v>
      </c>
      <c r="D17" s="6" t="n">
        <f aca="false">Referencias!$C$35/1000</f>
        <v>1.4</v>
      </c>
      <c r="E17" s="6" t="n">
        <f aca="false">Referencias!$C$37/1000</f>
        <v>1.58</v>
      </c>
      <c r="F17" s="6" t="n">
        <f aca="false">B17*C17*D17</f>
        <v>1.68</v>
      </c>
      <c r="G17" s="5" t="s">
        <v>211</v>
      </c>
      <c r="H17" s="5" t="s">
        <v>212</v>
      </c>
      <c r="I17" s="5" t="s">
        <v>213</v>
      </c>
      <c r="J17" s="17" t="s">
        <v>131</v>
      </c>
      <c r="K17" s="5" t="s">
        <v>209</v>
      </c>
      <c r="L17" s="17" t="s">
        <v>92</v>
      </c>
      <c r="M17" s="18" t="s">
        <v>214</v>
      </c>
    </row>
    <row r="18" customFormat="false" ht="35.05" hidden="false" customHeight="false" outlineLevel="0" collapsed="false">
      <c r="A18" s="5" t="s">
        <v>215</v>
      </c>
      <c r="B18" s="16" t="n">
        <f aca="false">Referencias!$C$123</f>
        <v>2</v>
      </c>
      <c r="C18" s="6" t="n">
        <f aca="false">Referencias!$C$5/1000</f>
        <v>0.6</v>
      </c>
      <c r="D18" s="6" t="n">
        <f aca="false">Referencias!$C$4/1000</f>
        <v>1.2</v>
      </c>
      <c r="E18" s="6" t="n">
        <f aca="false">Referencias!$C$6/1000</f>
        <v>2</v>
      </c>
      <c r="F18" s="6" t="n">
        <f aca="false">B18*C18*D18</f>
        <v>1.44</v>
      </c>
      <c r="G18" s="5" t="s">
        <v>216</v>
      </c>
      <c r="H18" s="5" t="s">
        <v>217</v>
      </c>
      <c r="I18" s="5" t="s">
        <v>137</v>
      </c>
      <c r="J18" s="17" t="s">
        <v>116</v>
      </c>
      <c r="K18" s="5" t="s">
        <v>218</v>
      </c>
      <c r="L18" s="17" t="s">
        <v>116</v>
      </c>
      <c r="M18" s="18"/>
    </row>
    <row r="19" customFormat="false" ht="23.85" hidden="false" customHeight="false" outlineLevel="0" collapsed="false">
      <c r="A19" s="11" t="s">
        <v>219</v>
      </c>
      <c r="B19" s="12" t="n">
        <f aca="false">Referencias!$C$124</f>
        <v>1</v>
      </c>
      <c r="C19" s="13" t="n">
        <f aca="false">Referencias!$C$8/1000</f>
        <v>0.7</v>
      </c>
      <c r="D19" s="13" t="n">
        <f aca="false">Referencias!$C$7/1000</f>
        <v>1.3</v>
      </c>
      <c r="E19" s="15" t="s">
        <v>119</v>
      </c>
      <c r="F19" s="13" t="n">
        <f aca="false">B19*C19*D19</f>
        <v>0.91</v>
      </c>
      <c r="G19" s="11" t="s">
        <v>196</v>
      </c>
      <c r="H19" s="11" t="s">
        <v>220</v>
      </c>
      <c r="I19" s="11" t="s">
        <v>122</v>
      </c>
      <c r="J19" s="14" t="s">
        <v>116</v>
      </c>
      <c r="K19" s="11" t="s">
        <v>221</v>
      </c>
      <c r="L19" s="14" t="s">
        <v>116</v>
      </c>
      <c r="M19" s="15" t="s">
        <v>199</v>
      </c>
    </row>
    <row r="21" customFormat="false" ht="15" hidden="false" customHeight="false" outlineLevel="0" collapsed="false">
      <c r="A21" s="4" t="s">
        <v>15</v>
      </c>
      <c r="B21" s="19" t="n">
        <f aca="false">Referencias!$C$125</f>
        <v>1</v>
      </c>
      <c r="C21" s="4"/>
      <c r="D21" s="4"/>
      <c r="E21" s="4"/>
      <c r="F21" s="9" t="n">
        <f aca="false">SUM(F22:F23)</f>
        <v>3.25</v>
      </c>
      <c r="G21" s="4" t="str">
        <f aca="false">"máquinas · turnos: "&amp;Referencias!$C$202</f>
        <v>máquinas · turnos: 1</v>
      </c>
      <c r="H21" s="4" t="s">
        <v>222</v>
      </c>
      <c r="I21" s="4"/>
      <c r="J21" s="4"/>
      <c r="K21" s="4" t="s">
        <v>223</v>
      </c>
      <c r="L21" s="10" t="s">
        <v>92</v>
      </c>
      <c r="M21" s="4"/>
    </row>
    <row r="22" customFormat="false" ht="46.25" hidden="false" customHeight="false" outlineLevel="0" collapsed="false">
      <c r="A22" s="5" t="s">
        <v>224</v>
      </c>
      <c r="B22" s="16" t="n">
        <f aca="false">Referencias!$C$125</f>
        <v>1</v>
      </c>
      <c r="C22" s="6" t="n">
        <f aca="false">Referencias!$C$39/1000</f>
        <v>1.3</v>
      </c>
      <c r="D22" s="6" t="n">
        <f aca="false">Referencias!$C$38/1000</f>
        <v>1.8</v>
      </c>
      <c r="E22" s="6" t="n">
        <f aca="false">Referencias!$C$40/1000</f>
        <v>1.25</v>
      </c>
      <c r="F22" s="6" t="n">
        <f aca="false">B22*C22*D22</f>
        <v>2.34</v>
      </c>
      <c r="G22" s="5" t="s">
        <v>225</v>
      </c>
      <c r="H22" s="5" t="s">
        <v>226</v>
      </c>
      <c r="I22" s="5" t="s">
        <v>227</v>
      </c>
      <c r="J22" s="17" t="s">
        <v>131</v>
      </c>
      <c r="K22" s="5" t="s">
        <v>223</v>
      </c>
      <c r="L22" s="17" t="s">
        <v>92</v>
      </c>
      <c r="M22" s="18" t="s">
        <v>228</v>
      </c>
    </row>
    <row r="23" customFormat="false" ht="23.85" hidden="false" customHeight="false" outlineLevel="0" collapsed="false">
      <c r="A23" s="11" t="s">
        <v>229</v>
      </c>
      <c r="B23" s="12" t="n">
        <f aca="false">Referencias!$C$126</f>
        <v>1</v>
      </c>
      <c r="C23" s="13" t="n">
        <f aca="false">Referencias!$C$8/1000</f>
        <v>0.7</v>
      </c>
      <c r="D23" s="13" t="n">
        <f aca="false">Referencias!$C$7/1000</f>
        <v>1.3</v>
      </c>
      <c r="E23" s="15" t="s">
        <v>119</v>
      </c>
      <c r="F23" s="13" t="n">
        <f aca="false">B23*C23*D23</f>
        <v>0.91</v>
      </c>
      <c r="G23" s="11" t="s">
        <v>120</v>
      </c>
      <c r="H23" s="11" t="s">
        <v>230</v>
      </c>
      <c r="I23" s="11" t="s">
        <v>122</v>
      </c>
      <c r="J23" s="14" t="s">
        <v>116</v>
      </c>
      <c r="K23" s="11" t="s">
        <v>231</v>
      </c>
      <c r="L23" s="14" t="s">
        <v>116</v>
      </c>
      <c r="M23" s="15" t="s">
        <v>124</v>
      </c>
    </row>
    <row r="25" customFormat="false" ht="15" hidden="false" customHeight="false" outlineLevel="0" collapsed="false">
      <c r="A25" s="4" t="s">
        <v>16</v>
      </c>
      <c r="B25" s="19" t="n">
        <f aca="false">Referencias!$C$127</f>
        <v>1</v>
      </c>
      <c r="C25" s="4"/>
      <c r="D25" s="4"/>
      <c r="E25" s="4"/>
      <c r="F25" s="9" t="n">
        <f aca="false">SUM(F26:F28)</f>
        <v>7.27</v>
      </c>
      <c r="G25" s="4" t="str">
        <f aca="false">"máquinas · turnos: "&amp;Referencias!$C$203</f>
        <v>máquinas · turnos: 2</v>
      </c>
      <c r="H25" s="4" t="s">
        <v>232</v>
      </c>
      <c r="I25" s="4"/>
      <c r="J25" s="4"/>
      <c r="K25" s="4" t="s">
        <v>233</v>
      </c>
      <c r="L25" s="10" t="s">
        <v>92</v>
      </c>
      <c r="M25" s="4"/>
    </row>
    <row r="26" customFormat="false" ht="23.85" hidden="false" customHeight="false" outlineLevel="0" collapsed="false">
      <c r="A26" s="5" t="s">
        <v>234</v>
      </c>
      <c r="B26" s="16" t="n">
        <f aca="false">Referencias!$C$127</f>
        <v>1</v>
      </c>
      <c r="C26" s="6" t="n">
        <f aca="false">Referencias!$C$42/1000</f>
        <v>1</v>
      </c>
      <c r="D26" s="6" t="n">
        <f aca="false">Referencias!$C$41/1000</f>
        <v>1.32</v>
      </c>
      <c r="E26" s="6" t="n">
        <f aca="false">Referencias!$C$43/1000</f>
        <v>1.8</v>
      </c>
      <c r="F26" s="6" t="n">
        <f aca="false">B26*C26*D26</f>
        <v>1.32</v>
      </c>
      <c r="G26" s="5" t="s">
        <v>235</v>
      </c>
      <c r="H26" s="5" t="s">
        <v>236</v>
      </c>
      <c r="I26" s="5" t="s">
        <v>237</v>
      </c>
      <c r="J26" s="17" t="s">
        <v>238</v>
      </c>
      <c r="K26" s="5" t="s">
        <v>233</v>
      </c>
      <c r="L26" s="17" t="s">
        <v>92</v>
      </c>
      <c r="M26" s="18" t="s">
        <v>239</v>
      </c>
    </row>
    <row r="27" customFormat="false" ht="23.85" hidden="false" customHeight="false" outlineLevel="0" collapsed="false">
      <c r="A27" s="5" t="s">
        <v>240</v>
      </c>
      <c r="B27" s="16" t="n">
        <f aca="false">Referencias!$C$128</f>
        <v>7</v>
      </c>
      <c r="C27" s="6" t="n">
        <f aca="false">Referencias!$C$5/1000</f>
        <v>0.6</v>
      </c>
      <c r="D27" s="6" t="n">
        <f aca="false">Referencias!$C$4/1000</f>
        <v>1.2</v>
      </c>
      <c r="E27" s="6" t="n">
        <f aca="false">Referencias!$C$6/1000</f>
        <v>2</v>
      </c>
      <c r="F27" s="6" t="n">
        <f aca="false">B27*C27*D27</f>
        <v>5.04</v>
      </c>
      <c r="G27" s="5" t="s">
        <v>241</v>
      </c>
      <c r="H27" s="5" t="s">
        <v>242</v>
      </c>
      <c r="I27" s="5" t="s">
        <v>137</v>
      </c>
      <c r="J27" s="17" t="s">
        <v>116</v>
      </c>
      <c r="K27" s="5" t="s">
        <v>243</v>
      </c>
      <c r="L27" s="17" t="s">
        <v>116</v>
      </c>
      <c r="M27" s="18"/>
    </row>
    <row r="28" customFormat="false" ht="23.85" hidden="false" customHeight="false" outlineLevel="0" collapsed="false">
      <c r="A28" s="11" t="s">
        <v>244</v>
      </c>
      <c r="B28" s="12" t="n">
        <f aca="false">Referencias!$C$16</f>
        <v>1</v>
      </c>
      <c r="C28" s="13" t="n">
        <f aca="false">Referencias!$C$8/1000</f>
        <v>0.7</v>
      </c>
      <c r="D28" s="13" t="n">
        <f aca="false">Referencias!$C$7/1000</f>
        <v>1.3</v>
      </c>
      <c r="E28" s="15" t="s">
        <v>119</v>
      </c>
      <c r="F28" s="13" t="n">
        <f aca="false">B28*C28*D28</f>
        <v>0.91</v>
      </c>
      <c r="G28" s="11" t="s">
        <v>120</v>
      </c>
      <c r="H28" s="11" t="s">
        <v>245</v>
      </c>
      <c r="I28" s="11" t="s">
        <v>122</v>
      </c>
      <c r="J28" s="14" t="s">
        <v>116</v>
      </c>
      <c r="K28" s="11" t="s">
        <v>246</v>
      </c>
      <c r="L28" s="11"/>
      <c r="M28" s="15" t="s">
        <v>247</v>
      </c>
    </row>
    <row r="30" customFormat="false" ht="15" hidden="false" customHeight="false" outlineLevel="0" collapsed="false">
      <c r="A30" s="4" t="s">
        <v>17</v>
      </c>
      <c r="B30" s="19" t="n">
        <f aca="false">Referencias!$C$130</f>
        <v>1</v>
      </c>
      <c r="C30" s="4"/>
      <c r="D30" s="4"/>
      <c r="E30" s="4"/>
      <c r="F30" s="9" t="n">
        <f aca="false">SUM(F31:F31)</f>
        <v>0</v>
      </c>
      <c r="G30" s="4" t="str">
        <f aca="false">"máquinas · turnos: "&amp;Referencias!$C$204</f>
        <v>máquinas · turnos: 2</v>
      </c>
      <c r="H30" s="4" t="s">
        <v>248</v>
      </c>
      <c r="I30" s="4"/>
      <c r="J30" s="4"/>
      <c r="K30" s="4" t="s">
        <v>249</v>
      </c>
      <c r="L30" s="10" t="s">
        <v>92</v>
      </c>
      <c r="M30" s="4"/>
    </row>
    <row r="31" customFormat="false" ht="15" hidden="false" customHeight="false" outlineLevel="0" collapsed="false">
      <c r="A31" s="11" t="s">
        <v>250</v>
      </c>
      <c r="B31" s="12" t="n">
        <f aca="false">Referencias!$C$130</f>
        <v>1</v>
      </c>
      <c r="C31" s="15" t="s">
        <v>119</v>
      </c>
      <c r="D31" s="15" t="s">
        <v>119</v>
      </c>
      <c r="E31" s="15" t="s">
        <v>119</v>
      </c>
      <c r="F31" s="20"/>
      <c r="G31" s="11"/>
      <c r="H31" s="11" t="s">
        <v>251</v>
      </c>
      <c r="I31" s="20"/>
      <c r="J31" s="20"/>
      <c r="K31" s="11" t="s">
        <v>249</v>
      </c>
      <c r="L31" s="14" t="s">
        <v>92</v>
      </c>
      <c r="M31" s="15" t="s">
        <v>252</v>
      </c>
    </row>
    <row r="33" customFormat="false" ht="15" hidden="false" customHeight="false" outlineLevel="0" collapsed="false">
      <c r="A33" s="4" t="s">
        <v>18</v>
      </c>
      <c r="B33" s="19" t="n">
        <f aca="false">Referencias!$C$131</f>
        <v>1</v>
      </c>
      <c r="C33" s="4"/>
      <c r="D33" s="4"/>
      <c r="E33" s="4"/>
      <c r="F33" s="9" t="n">
        <f aca="false">SUM(F34:F37)</f>
        <v>5.23</v>
      </c>
      <c r="G33" s="4" t="str">
        <f aca="false">"máquinas · turnos: "&amp;Referencias!$C$205</f>
        <v>máquinas · turnos: 2</v>
      </c>
      <c r="H33" s="4" t="s">
        <v>253</v>
      </c>
      <c r="I33" s="4"/>
      <c r="J33" s="4"/>
      <c r="K33" s="4" t="s">
        <v>254</v>
      </c>
      <c r="L33" s="10" t="s">
        <v>92</v>
      </c>
      <c r="M33" s="4"/>
    </row>
    <row r="34" customFormat="false" ht="23.85" hidden="false" customHeight="false" outlineLevel="0" collapsed="false">
      <c r="A34" s="5" t="s">
        <v>255</v>
      </c>
      <c r="B34" s="16" t="n">
        <f aca="false">Referencias!$C$131</f>
        <v>1</v>
      </c>
      <c r="C34" s="18" t="s">
        <v>119</v>
      </c>
      <c r="D34" s="18" t="s">
        <v>119</v>
      </c>
      <c r="E34" s="18" t="s">
        <v>119</v>
      </c>
      <c r="G34" s="5" t="s">
        <v>256</v>
      </c>
      <c r="H34" s="5" t="s">
        <v>257</v>
      </c>
      <c r="K34" s="5" t="s">
        <v>254</v>
      </c>
      <c r="L34" s="17" t="s">
        <v>92</v>
      </c>
      <c r="M34" s="18" t="s">
        <v>258</v>
      </c>
    </row>
    <row r="35" customFormat="false" ht="23.85" hidden="false" customHeight="false" outlineLevel="0" collapsed="false">
      <c r="A35" s="5" t="s">
        <v>259</v>
      </c>
      <c r="B35" s="16" t="n">
        <f aca="false">Referencias!$C$132</f>
        <v>4</v>
      </c>
      <c r="C35" s="6" t="n">
        <f aca="false">Referencias!$C$5/1000</f>
        <v>0.6</v>
      </c>
      <c r="D35" s="6" t="n">
        <f aca="false">Referencias!$C$4/1000</f>
        <v>1.2</v>
      </c>
      <c r="E35" s="6" t="n">
        <f aca="false">Referencias!$C$6/1000</f>
        <v>2</v>
      </c>
      <c r="F35" s="6" t="n">
        <f aca="false">B35*C35*D35</f>
        <v>2.88</v>
      </c>
      <c r="G35" s="5" t="s">
        <v>260</v>
      </c>
      <c r="H35" s="5" t="s">
        <v>261</v>
      </c>
      <c r="I35" s="5" t="s">
        <v>137</v>
      </c>
      <c r="J35" s="17" t="s">
        <v>116</v>
      </c>
      <c r="K35" s="5" t="s">
        <v>262</v>
      </c>
      <c r="L35" s="17" t="s">
        <v>116</v>
      </c>
      <c r="M35" s="18"/>
    </row>
    <row r="36" customFormat="false" ht="35.05" hidden="false" customHeight="false" outlineLevel="0" collapsed="false">
      <c r="A36" s="5" t="s">
        <v>263</v>
      </c>
      <c r="B36" s="16" t="n">
        <f aca="false">Referencias!$C$133</f>
        <v>2</v>
      </c>
      <c r="C36" s="6" t="n">
        <f aca="false">Referencias!$C$5/1000</f>
        <v>0.6</v>
      </c>
      <c r="D36" s="6" t="n">
        <f aca="false">Referencias!$C$4/1000</f>
        <v>1.2</v>
      </c>
      <c r="E36" s="6" t="n">
        <f aca="false">Referencias!$C$6/1000</f>
        <v>2</v>
      </c>
      <c r="F36" s="6" t="n">
        <f aca="false">B36*C36*D36</f>
        <v>1.44</v>
      </c>
      <c r="G36" s="5" t="s">
        <v>264</v>
      </c>
      <c r="H36" s="5" t="s">
        <v>265</v>
      </c>
      <c r="I36" s="5" t="s">
        <v>137</v>
      </c>
      <c r="J36" s="17" t="s">
        <v>116</v>
      </c>
      <c r="K36" s="5" t="s">
        <v>266</v>
      </c>
      <c r="L36" s="17" t="s">
        <v>116</v>
      </c>
      <c r="M36" s="18"/>
    </row>
    <row r="37" customFormat="false" ht="23.85" hidden="false" customHeight="false" outlineLevel="0" collapsed="false">
      <c r="A37" s="11" t="s">
        <v>267</v>
      </c>
      <c r="B37" s="12" t="n">
        <f aca="false">Referencias!$C$16</f>
        <v>1</v>
      </c>
      <c r="C37" s="13" t="n">
        <f aca="false">Referencias!$C$8/1000</f>
        <v>0.7</v>
      </c>
      <c r="D37" s="13" t="n">
        <f aca="false">Referencias!$C$7/1000</f>
        <v>1.3</v>
      </c>
      <c r="E37" s="15" t="s">
        <v>119</v>
      </c>
      <c r="F37" s="13" t="n">
        <f aca="false">B37*C37*D37</f>
        <v>0.91</v>
      </c>
      <c r="G37" s="11" t="s">
        <v>120</v>
      </c>
      <c r="H37" s="11" t="s">
        <v>245</v>
      </c>
      <c r="I37" s="11" t="s">
        <v>122</v>
      </c>
      <c r="J37" s="14" t="s">
        <v>116</v>
      </c>
      <c r="K37" s="11" t="s">
        <v>246</v>
      </c>
      <c r="L37" s="11"/>
      <c r="M37" s="15" t="s">
        <v>268</v>
      </c>
    </row>
    <row r="39" customFormat="false" ht="15" hidden="false" customHeight="false" outlineLevel="0" collapsed="false">
      <c r="A39" s="4" t="s">
        <v>19</v>
      </c>
      <c r="B39" s="19" t="n">
        <f aca="false">Referencias!$C$135</f>
        <v>1</v>
      </c>
      <c r="C39" s="4"/>
      <c r="D39" s="4"/>
      <c r="E39" s="4"/>
      <c r="F39" s="9" t="n">
        <f aca="false">SUM(F40:F41)</f>
        <v>1.75</v>
      </c>
      <c r="G39" s="4" t="str">
        <f aca="false">"máquinas · turnos: "&amp;Referencias!$C$206</f>
        <v>máquinas · turnos: 2</v>
      </c>
      <c r="H39" s="4" t="s">
        <v>269</v>
      </c>
      <c r="I39" s="4"/>
      <c r="J39" s="4"/>
      <c r="K39" s="4" t="s">
        <v>270</v>
      </c>
      <c r="L39" s="10" t="s">
        <v>92</v>
      </c>
      <c r="M39" s="4"/>
    </row>
    <row r="40" customFormat="false" ht="23.85" hidden="false" customHeight="false" outlineLevel="0" collapsed="false">
      <c r="A40" s="5" t="s">
        <v>271</v>
      </c>
      <c r="B40" s="16" t="n">
        <f aca="false">Referencias!$C$135</f>
        <v>1</v>
      </c>
      <c r="C40" s="6" t="n">
        <f aca="false">Referencias!$C$45/1000</f>
        <v>0.7</v>
      </c>
      <c r="D40" s="6" t="n">
        <f aca="false">Referencias!$C$44/1000</f>
        <v>1.2</v>
      </c>
      <c r="E40" s="6" t="n">
        <f aca="false">Referencias!$C$46/1000</f>
        <v>1.2</v>
      </c>
      <c r="F40" s="6" t="n">
        <f aca="false">B40*C40*D40</f>
        <v>0.84</v>
      </c>
      <c r="G40" s="5" t="s">
        <v>272</v>
      </c>
      <c r="H40" s="5" t="s">
        <v>273</v>
      </c>
      <c r="I40" s="5" t="s">
        <v>274</v>
      </c>
      <c r="J40" s="17" t="s">
        <v>275</v>
      </c>
      <c r="K40" s="5" t="s">
        <v>270</v>
      </c>
      <c r="L40" s="17" t="s">
        <v>92</v>
      </c>
      <c r="M40" s="18" t="s">
        <v>276</v>
      </c>
    </row>
    <row r="41" customFormat="false" ht="23.85" hidden="false" customHeight="false" outlineLevel="0" collapsed="false">
      <c r="A41" s="11" t="s">
        <v>277</v>
      </c>
      <c r="B41" s="12" t="n">
        <f aca="false">Referencias!$C$136</f>
        <v>1</v>
      </c>
      <c r="C41" s="13" t="n">
        <f aca="false">Referencias!$C$8/1000</f>
        <v>0.7</v>
      </c>
      <c r="D41" s="13" t="n">
        <f aca="false">Referencias!$C$7/1000</f>
        <v>1.3</v>
      </c>
      <c r="E41" s="15" t="s">
        <v>119</v>
      </c>
      <c r="F41" s="13" t="n">
        <f aca="false">B41*C41*D41</f>
        <v>0.91</v>
      </c>
      <c r="G41" s="11" t="s">
        <v>120</v>
      </c>
      <c r="H41" s="11" t="s">
        <v>278</v>
      </c>
      <c r="I41" s="11" t="s">
        <v>122</v>
      </c>
      <c r="J41" s="14" t="s">
        <v>116</v>
      </c>
      <c r="K41" s="11" t="s">
        <v>279</v>
      </c>
      <c r="L41" s="14" t="s">
        <v>116</v>
      </c>
      <c r="M41" s="15" t="s">
        <v>124</v>
      </c>
    </row>
    <row r="43" customFormat="false" ht="15" hidden="false" customHeight="false" outlineLevel="0" collapsed="false">
      <c r="A43" s="4" t="s">
        <v>20</v>
      </c>
      <c r="B43" s="19" t="n">
        <f aca="false">Referencias!$C$137</f>
        <v>2</v>
      </c>
      <c r="C43" s="4"/>
      <c r="D43" s="4"/>
      <c r="E43" s="4"/>
      <c r="F43" s="9" t="n">
        <f aca="false">SUM(F44:F47)</f>
        <v>10.31</v>
      </c>
      <c r="G43" s="4" t="str">
        <f aca="false">"máquinas · turnos: "&amp;Referencias!$C$207</f>
        <v>máquinas · turnos: 2</v>
      </c>
      <c r="H43" s="4" t="s">
        <v>280</v>
      </c>
      <c r="I43" s="4"/>
      <c r="J43" s="4"/>
      <c r="K43" s="4" t="s">
        <v>281</v>
      </c>
      <c r="L43" s="10" t="s">
        <v>92</v>
      </c>
      <c r="M43" s="4"/>
    </row>
    <row r="44" customFormat="false" ht="23.85" hidden="false" customHeight="false" outlineLevel="0" collapsed="false">
      <c r="A44" s="5" t="s">
        <v>282</v>
      </c>
      <c r="B44" s="16" t="n">
        <f aca="false">Referencias!$C$137</f>
        <v>2</v>
      </c>
      <c r="C44" s="18" t="s">
        <v>119</v>
      </c>
      <c r="D44" s="18" t="s">
        <v>119</v>
      </c>
      <c r="E44" s="18" t="s">
        <v>119</v>
      </c>
      <c r="G44" s="5" t="s">
        <v>283</v>
      </c>
      <c r="H44" s="5" t="s">
        <v>284</v>
      </c>
      <c r="K44" s="5" t="s">
        <v>281</v>
      </c>
      <c r="L44" s="17" t="s">
        <v>92</v>
      </c>
      <c r="M44" s="18" t="s">
        <v>285</v>
      </c>
    </row>
    <row r="45" customFormat="false" ht="23.85" hidden="false" customHeight="false" outlineLevel="0" collapsed="false">
      <c r="A45" s="5" t="s">
        <v>286</v>
      </c>
      <c r="B45" s="16" t="n">
        <f aca="false">Referencias!$C$138</f>
        <v>1</v>
      </c>
      <c r="C45" s="6" t="n">
        <f aca="false">Referencias!$C$5/1000</f>
        <v>0.6</v>
      </c>
      <c r="D45" s="6" t="n">
        <f aca="false">Referencias!$C$4/1000</f>
        <v>1.2</v>
      </c>
      <c r="E45" s="6" t="n">
        <f aca="false">Referencias!$C$6/1000</f>
        <v>2</v>
      </c>
      <c r="F45" s="6" t="n">
        <f aca="false">B45*C45*D45</f>
        <v>0.72</v>
      </c>
      <c r="G45" s="5" t="s">
        <v>287</v>
      </c>
      <c r="H45" s="5" t="s">
        <v>288</v>
      </c>
      <c r="I45" s="5" t="s">
        <v>137</v>
      </c>
      <c r="J45" s="17" t="s">
        <v>116</v>
      </c>
      <c r="K45" s="5" t="s">
        <v>289</v>
      </c>
      <c r="L45" s="17" t="s">
        <v>116</v>
      </c>
      <c r="M45" s="18"/>
    </row>
    <row r="46" customFormat="false" ht="23.85" hidden="false" customHeight="false" outlineLevel="0" collapsed="false">
      <c r="A46" s="5" t="s">
        <v>290</v>
      </c>
      <c r="B46" s="16" t="n">
        <f aca="false">Referencias!$C$139</f>
        <v>7</v>
      </c>
      <c r="C46" s="6" t="n">
        <f aca="false">Referencias!$C$5/1000</f>
        <v>0.6</v>
      </c>
      <c r="D46" s="6" t="n">
        <f aca="false">Referencias!$C$4/1000</f>
        <v>1.2</v>
      </c>
      <c r="E46" s="6" t="n">
        <f aca="false">Referencias!$C$6/1000</f>
        <v>2</v>
      </c>
      <c r="F46" s="6" t="n">
        <f aca="false">B46*C46*D46</f>
        <v>5.04</v>
      </c>
      <c r="G46" s="5" t="s">
        <v>291</v>
      </c>
      <c r="H46" s="5" t="s">
        <v>292</v>
      </c>
      <c r="I46" s="5" t="s">
        <v>137</v>
      </c>
      <c r="J46" s="17" t="s">
        <v>116</v>
      </c>
      <c r="K46" s="5" t="s">
        <v>293</v>
      </c>
      <c r="L46" s="17" t="s">
        <v>116</v>
      </c>
      <c r="M46" s="18"/>
    </row>
    <row r="47" customFormat="false" ht="23.85" hidden="false" customHeight="false" outlineLevel="0" collapsed="false">
      <c r="A47" s="11" t="s">
        <v>294</v>
      </c>
      <c r="B47" s="12" t="n">
        <f aca="false">Referencias!$C$140</f>
        <v>5</v>
      </c>
      <c r="C47" s="13" t="n">
        <f aca="false">Referencias!$C$8/1000</f>
        <v>0.7</v>
      </c>
      <c r="D47" s="13" t="n">
        <f aca="false">Referencias!$C$7/1000</f>
        <v>1.3</v>
      </c>
      <c r="E47" s="15" t="s">
        <v>119</v>
      </c>
      <c r="F47" s="13" t="n">
        <f aca="false">B47*C47*D47</f>
        <v>4.55</v>
      </c>
      <c r="G47" s="11" t="s">
        <v>120</v>
      </c>
      <c r="H47" s="11" t="s">
        <v>295</v>
      </c>
      <c r="I47" s="11" t="s">
        <v>122</v>
      </c>
      <c r="J47" s="14" t="s">
        <v>116</v>
      </c>
      <c r="K47" s="11" t="s">
        <v>296</v>
      </c>
      <c r="L47" s="14" t="s">
        <v>116</v>
      </c>
      <c r="M47" s="15" t="s">
        <v>124</v>
      </c>
    </row>
    <row r="49" customFormat="false" ht="15" hidden="false" customHeight="false" outlineLevel="0" collapsed="false">
      <c r="A49" s="4" t="s">
        <v>21</v>
      </c>
      <c r="B49" s="19" t="n">
        <f aca="false">Referencias!$C$141</f>
        <v>1</v>
      </c>
      <c r="C49" s="4"/>
      <c r="D49" s="4"/>
      <c r="E49" s="4"/>
      <c r="F49" s="9" t="n">
        <f aca="false">SUM(F50:F50)</f>
        <v>0</v>
      </c>
      <c r="G49" s="4" t="str">
        <f aca="false">"máquinas · turnos: "&amp;Referencias!$C$208</f>
        <v>máquinas · turnos: 1</v>
      </c>
      <c r="H49" s="4" t="s">
        <v>297</v>
      </c>
      <c r="I49" s="4"/>
      <c r="J49" s="4"/>
      <c r="K49" s="4" t="s">
        <v>298</v>
      </c>
      <c r="L49" s="10" t="s">
        <v>92</v>
      </c>
      <c r="M49" s="4"/>
    </row>
    <row r="50" customFormat="false" ht="15" hidden="false" customHeight="false" outlineLevel="0" collapsed="false">
      <c r="A50" s="11" t="s">
        <v>299</v>
      </c>
      <c r="B50" s="12" t="n">
        <f aca="false">Referencias!$C$141</f>
        <v>1</v>
      </c>
      <c r="C50" s="15" t="s">
        <v>119</v>
      </c>
      <c r="D50" s="15" t="s">
        <v>119</v>
      </c>
      <c r="E50" s="15" t="s">
        <v>119</v>
      </c>
      <c r="F50" s="20"/>
      <c r="G50" s="11"/>
      <c r="H50" s="11" t="s">
        <v>300</v>
      </c>
      <c r="I50" s="20"/>
      <c r="J50" s="20"/>
      <c r="K50" s="11" t="s">
        <v>298</v>
      </c>
      <c r="L50" s="14" t="s">
        <v>92</v>
      </c>
      <c r="M50" s="15" t="s">
        <v>207</v>
      </c>
    </row>
    <row r="52" customFormat="false" ht="15" hidden="false" customHeight="false" outlineLevel="0" collapsed="false">
      <c r="A52" s="4" t="s">
        <v>22</v>
      </c>
      <c r="B52" s="19" t="n">
        <f aca="false">Referencias!$C$142</f>
        <v>1</v>
      </c>
      <c r="C52" s="4"/>
      <c r="D52" s="4"/>
      <c r="E52" s="4"/>
      <c r="F52" s="9" t="n">
        <f aca="false">SUM(F53:F54)</f>
        <v>6.76</v>
      </c>
      <c r="G52" s="4" t="str">
        <f aca="false">"máquinas · turnos: "&amp;Referencias!$C$209</f>
        <v>máquinas · turnos: 2</v>
      </c>
      <c r="H52" s="4" t="s">
        <v>301</v>
      </c>
      <c r="I52" s="4"/>
      <c r="J52" s="4"/>
      <c r="K52" s="4" t="s">
        <v>302</v>
      </c>
      <c r="L52" s="10" t="s">
        <v>92</v>
      </c>
      <c r="M52" s="4"/>
    </row>
    <row r="53" customFormat="false" ht="23.85" hidden="false" customHeight="false" outlineLevel="0" collapsed="false">
      <c r="A53" s="5" t="s">
        <v>303</v>
      </c>
      <c r="B53" s="16" t="n">
        <f aca="false">Referencias!$C$142</f>
        <v>1</v>
      </c>
      <c r="C53" s="6" t="n">
        <f aca="false">Referencias!$C$48/1000</f>
        <v>1.3</v>
      </c>
      <c r="D53" s="6" t="n">
        <f aca="false">Referencias!$C$47/1000</f>
        <v>4.5</v>
      </c>
      <c r="E53" s="6" t="n">
        <f aca="false">Referencias!$C$49/1000</f>
        <v>2.2</v>
      </c>
      <c r="F53" s="6" t="n">
        <f aca="false">B53*C53*D53</f>
        <v>5.85</v>
      </c>
      <c r="G53" s="5" t="s">
        <v>304</v>
      </c>
      <c r="H53" s="5" t="s">
        <v>305</v>
      </c>
      <c r="I53" s="5" t="s">
        <v>306</v>
      </c>
      <c r="J53" s="17" t="s">
        <v>307</v>
      </c>
      <c r="K53" s="5" t="s">
        <v>302</v>
      </c>
      <c r="L53" s="17" t="s">
        <v>92</v>
      </c>
      <c r="M53" s="18"/>
    </row>
    <row r="54" customFormat="false" ht="23.85" hidden="false" customHeight="false" outlineLevel="0" collapsed="false">
      <c r="A54" s="11" t="s">
        <v>308</v>
      </c>
      <c r="B54" s="12" t="n">
        <f aca="false">Referencias!$C$143</f>
        <v>1</v>
      </c>
      <c r="C54" s="13" t="n">
        <f aca="false">Referencias!$C$8/1000</f>
        <v>0.7</v>
      </c>
      <c r="D54" s="13" t="n">
        <f aca="false">Referencias!$C$7/1000</f>
        <v>1.3</v>
      </c>
      <c r="E54" s="15" t="s">
        <v>119</v>
      </c>
      <c r="F54" s="13" t="n">
        <f aca="false">B54*C54*D54</f>
        <v>0.91</v>
      </c>
      <c r="G54" s="11" t="s">
        <v>120</v>
      </c>
      <c r="H54" s="11" t="s">
        <v>309</v>
      </c>
      <c r="I54" s="11" t="s">
        <v>122</v>
      </c>
      <c r="J54" s="14" t="s">
        <v>116</v>
      </c>
      <c r="K54" s="11" t="s">
        <v>310</v>
      </c>
      <c r="L54" s="14" t="s">
        <v>116</v>
      </c>
      <c r="M54" s="15" t="s">
        <v>124</v>
      </c>
    </row>
    <row r="56" customFormat="false" ht="15" hidden="false" customHeight="false" outlineLevel="0" collapsed="false">
      <c r="A56" s="4" t="s">
        <v>23</v>
      </c>
      <c r="B56" s="19" t="n">
        <f aca="false">Referencias!$C$144</f>
        <v>1</v>
      </c>
      <c r="C56" s="4"/>
      <c r="D56" s="4"/>
      <c r="E56" s="4"/>
      <c r="F56" s="9" t="n">
        <f aca="false">SUM(F57:F57)</f>
        <v>0</v>
      </c>
      <c r="G56" s="4" t="str">
        <f aca="false">"máquinas · turnos: "&amp;Referencias!$C$210</f>
        <v>máquinas · turnos: 2</v>
      </c>
      <c r="H56" s="4" t="s">
        <v>311</v>
      </c>
      <c r="I56" s="4"/>
      <c r="J56" s="4"/>
      <c r="K56" s="4" t="s">
        <v>312</v>
      </c>
      <c r="L56" s="10" t="s">
        <v>92</v>
      </c>
      <c r="M56" s="4"/>
    </row>
    <row r="57" customFormat="false" ht="15" hidden="false" customHeight="false" outlineLevel="0" collapsed="false">
      <c r="A57" s="11" t="s">
        <v>313</v>
      </c>
      <c r="B57" s="12" t="n">
        <f aca="false">Referencias!$C$144</f>
        <v>1</v>
      </c>
      <c r="C57" s="15" t="s">
        <v>119</v>
      </c>
      <c r="D57" s="15" t="s">
        <v>119</v>
      </c>
      <c r="E57" s="15" t="s">
        <v>119</v>
      </c>
      <c r="F57" s="20"/>
      <c r="G57" s="11"/>
      <c r="H57" s="11" t="s">
        <v>314</v>
      </c>
      <c r="I57" s="20"/>
      <c r="J57" s="20"/>
      <c r="K57" s="11" t="s">
        <v>312</v>
      </c>
      <c r="L57" s="14" t="s">
        <v>92</v>
      </c>
      <c r="M57" s="15" t="s">
        <v>207</v>
      </c>
    </row>
    <row r="59" customFormat="false" ht="15" hidden="false" customHeight="false" outlineLevel="0" collapsed="false">
      <c r="A59" s="4" t="s">
        <v>24</v>
      </c>
      <c r="B59" s="19" t="n">
        <f aca="false">Referencias!$C$145</f>
        <v>1</v>
      </c>
      <c r="C59" s="4"/>
      <c r="D59" s="4"/>
      <c r="E59" s="4"/>
      <c r="F59" s="9" t="n">
        <f aca="false">SUM(F60:F60)</f>
        <v>0</v>
      </c>
      <c r="G59" s="4" t="str">
        <f aca="false">"máquinas · turnos: "&amp;Referencias!$C$211</f>
        <v>máquinas · turnos: 1</v>
      </c>
      <c r="H59" s="4" t="s">
        <v>315</v>
      </c>
      <c r="I59" s="4"/>
      <c r="J59" s="4"/>
      <c r="K59" s="4" t="s">
        <v>316</v>
      </c>
      <c r="L59" s="10" t="s">
        <v>92</v>
      </c>
      <c r="M59" s="4"/>
    </row>
    <row r="60" customFormat="false" ht="15" hidden="false" customHeight="false" outlineLevel="0" collapsed="false">
      <c r="A60" s="11" t="s">
        <v>317</v>
      </c>
      <c r="B60" s="12" t="n">
        <f aca="false">Referencias!$C$145</f>
        <v>1</v>
      </c>
      <c r="C60" s="15" t="s">
        <v>119</v>
      </c>
      <c r="D60" s="15" t="s">
        <v>119</v>
      </c>
      <c r="E60" s="15" t="s">
        <v>119</v>
      </c>
      <c r="F60" s="20"/>
      <c r="G60" s="11"/>
      <c r="H60" s="11" t="s">
        <v>318</v>
      </c>
      <c r="I60" s="20"/>
      <c r="J60" s="20"/>
      <c r="K60" s="11" t="s">
        <v>316</v>
      </c>
      <c r="L60" s="14" t="s">
        <v>92</v>
      </c>
      <c r="M60" s="15" t="s">
        <v>252</v>
      </c>
    </row>
    <row r="62" customFormat="false" ht="15" hidden="false" customHeight="false" outlineLevel="0" collapsed="false">
      <c r="A62" s="4" t="s">
        <v>25</v>
      </c>
      <c r="B62" s="19" t="n">
        <f aca="false">Referencias!$C$212</f>
        <v>1</v>
      </c>
      <c r="C62" s="4"/>
      <c r="D62" s="4"/>
      <c r="E62" s="4"/>
      <c r="F62" s="9" t="n">
        <f aca="false">SUM(F63:F67)</f>
        <v>35.54</v>
      </c>
      <c r="G62" s="4" t="str">
        <f aca="false">"máquinas · turnos: "&amp;Referencias!$C$213</f>
        <v>máquinas · turnos: 2</v>
      </c>
      <c r="H62" s="4" t="s">
        <v>319</v>
      </c>
      <c r="I62" s="4"/>
      <c r="J62" s="4"/>
      <c r="K62" s="4" t="s">
        <v>320</v>
      </c>
      <c r="L62" s="10" t="s">
        <v>92</v>
      </c>
      <c r="M62" s="4"/>
    </row>
    <row r="63" customFormat="false" ht="23.85" hidden="false" customHeight="false" outlineLevel="0" collapsed="false">
      <c r="A63" s="5" t="s">
        <v>321</v>
      </c>
      <c r="B63" s="16" t="n">
        <f aca="false">Referencias!$C$53</f>
        <v>2</v>
      </c>
      <c r="C63" s="6" t="n">
        <f aca="false">Referencias!$C$51</f>
        <v>2.44</v>
      </c>
      <c r="D63" s="6" t="n">
        <f aca="false">Referencias!$C$50</f>
        <v>6</v>
      </c>
      <c r="E63" s="6" t="n">
        <f aca="false">Referencias!$C$52</f>
        <v>2.44</v>
      </c>
      <c r="F63" s="6" t="n">
        <f aca="false">B63*C63*D63</f>
        <v>29.28</v>
      </c>
      <c r="G63" s="5" t="s">
        <v>322</v>
      </c>
      <c r="H63" s="5" t="s">
        <v>323</v>
      </c>
      <c r="I63" s="5" t="s">
        <v>324</v>
      </c>
      <c r="J63" s="17" t="s">
        <v>325</v>
      </c>
      <c r="K63" s="5" t="s">
        <v>324</v>
      </c>
      <c r="L63" s="17" t="s">
        <v>325</v>
      </c>
      <c r="M63" s="18"/>
    </row>
    <row r="64" customFormat="false" ht="23.85" hidden="false" customHeight="false" outlineLevel="0" collapsed="false">
      <c r="A64" s="5" t="s">
        <v>326</v>
      </c>
      <c r="B64" s="16" t="n">
        <f aca="false">Referencias!$C$57</f>
        <v>1</v>
      </c>
      <c r="C64" s="6" t="n">
        <f aca="false">Referencias!$C$55</f>
        <v>1.5</v>
      </c>
      <c r="D64" s="6" t="n">
        <f aca="false">Referencias!$C$54</f>
        <v>2</v>
      </c>
      <c r="E64" s="6" t="n">
        <f aca="false">Referencias!$C$56</f>
        <v>2.44</v>
      </c>
      <c r="F64" s="6" t="n">
        <f aca="false">B64*C64*D64</f>
        <v>3</v>
      </c>
      <c r="G64" s="5" t="s">
        <v>327</v>
      </c>
      <c r="H64" s="5" t="s">
        <v>328</v>
      </c>
      <c r="I64" s="5" t="s">
        <v>329</v>
      </c>
      <c r="J64" s="17" t="s">
        <v>325</v>
      </c>
      <c r="K64" s="5" t="s">
        <v>329</v>
      </c>
      <c r="L64" s="17" t="s">
        <v>325</v>
      </c>
      <c r="M64" s="18"/>
    </row>
    <row r="65" customFormat="false" ht="23.85" hidden="false" customHeight="false" outlineLevel="0" collapsed="false">
      <c r="A65" s="5" t="s">
        <v>330</v>
      </c>
      <c r="B65" s="16" t="n">
        <f aca="false">Referencias!$C$146</f>
        <v>2</v>
      </c>
      <c r="C65" s="6" t="n">
        <f aca="false">Referencias!$C$5/1000</f>
        <v>0.6</v>
      </c>
      <c r="D65" s="6" t="n">
        <f aca="false">Referencias!$C$4/1000</f>
        <v>1.2</v>
      </c>
      <c r="E65" s="6" t="n">
        <f aca="false">Referencias!$C$6/1000</f>
        <v>2</v>
      </c>
      <c r="F65" s="6" t="n">
        <f aca="false">B65*C65*D65</f>
        <v>1.44</v>
      </c>
      <c r="G65" s="5" t="s">
        <v>331</v>
      </c>
      <c r="H65" s="5" t="s">
        <v>332</v>
      </c>
      <c r="I65" s="5" t="s">
        <v>137</v>
      </c>
      <c r="J65" s="17" t="s">
        <v>116</v>
      </c>
      <c r="K65" s="5" t="s">
        <v>333</v>
      </c>
      <c r="L65" s="17" t="s">
        <v>116</v>
      </c>
      <c r="M65" s="18"/>
    </row>
    <row r="66" customFormat="false" ht="23.85" hidden="false" customHeight="false" outlineLevel="0" collapsed="false">
      <c r="A66" s="5" t="s">
        <v>334</v>
      </c>
      <c r="B66" s="16" t="n">
        <f aca="false">Referencias!$C$16</f>
        <v>1</v>
      </c>
      <c r="C66" s="6" t="n">
        <f aca="false">Referencias!$C$8/1000</f>
        <v>0.7</v>
      </c>
      <c r="D66" s="6" t="n">
        <f aca="false">Referencias!$C$7/1000</f>
        <v>1.3</v>
      </c>
      <c r="E66" s="18" t="s">
        <v>119</v>
      </c>
      <c r="F66" s="6" t="n">
        <f aca="false">B66*C66*D66</f>
        <v>0.91</v>
      </c>
      <c r="G66" s="5" t="s">
        <v>120</v>
      </c>
      <c r="H66" s="5" t="s">
        <v>245</v>
      </c>
      <c r="I66" s="5" t="s">
        <v>122</v>
      </c>
      <c r="J66" s="17" t="s">
        <v>116</v>
      </c>
      <c r="K66" s="5" t="s">
        <v>246</v>
      </c>
      <c r="L66" s="5"/>
      <c r="M66" s="18" t="s">
        <v>335</v>
      </c>
    </row>
    <row r="67" customFormat="false" ht="23.85" hidden="false" customHeight="false" outlineLevel="0" collapsed="false">
      <c r="A67" s="11" t="s">
        <v>336</v>
      </c>
      <c r="B67" s="12" t="n">
        <f aca="false">Referencias!$C$16</f>
        <v>1</v>
      </c>
      <c r="C67" s="13" t="n">
        <f aca="false">Referencias!$C$8/1000</f>
        <v>0.7</v>
      </c>
      <c r="D67" s="13" t="n">
        <f aca="false">Referencias!$C$7/1000</f>
        <v>1.3</v>
      </c>
      <c r="E67" s="15" t="s">
        <v>119</v>
      </c>
      <c r="F67" s="13" t="n">
        <f aca="false">B67*C67*D67</f>
        <v>0.91</v>
      </c>
      <c r="G67" s="11" t="s">
        <v>120</v>
      </c>
      <c r="H67" s="11" t="s">
        <v>245</v>
      </c>
      <c r="I67" s="11" t="s">
        <v>122</v>
      </c>
      <c r="J67" s="14" t="s">
        <v>116</v>
      </c>
      <c r="K67" s="11" t="s">
        <v>246</v>
      </c>
      <c r="L67" s="11"/>
      <c r="M67" s="15" t="s">
        <v>337</v>
      </c>
    </row>
    <row r="69" customFormat="false" ht="15" hidden="false" customHeight="false" outlineLevel="0" collapsed="false">
      <c r="A69" s="4" t="s">
        <v>26</v>
      </c>
      <c r="B69" s="19" t="n">
        <f aca="false">Referencias!$C$149</f>
        <v>1</v>
      </c>
      <c r="C69" s="4"/>
      <c r="D69" s="4"/>
      <c r="E69" s="4"/>
      <c r="F69" s="9" t="n">
        <f aca="false">SUM(F70:F72)</f>
        <v>4.1062</v>
      </c>
      <c r="G69" s="4" t="str">
        <f aca="false">"máquinas · turnos: "&amp;Referencias!$C$214</f>
        <v>máquinas · turnos: 1</v>
      </c>
      <c r="H69" s="4" t="s">
        <v>338</v>
      </c>
      <c r="I69" s="4"/>
      <c r="J69" s="4"/>
      <c r="K69" s="4" t="s">
        <v>339</v>
      </c>
      <c r="L69" s="10" t="s">
        <v>92</v>
      </c>
      <c r="M69" s="4"/>
    </row>
    <row r="70" customFormat="false" ht="23.85" hidden="false" customHeight="false" outlineLevel="0" collapsed="false">
      <c r="A70" s="5" t="s">
        <v>340</v>
      </c>
      <c r="B70" s="16" t="n">
        <f aca="false">Referencias!$C$149</f>
        <v>1</v>
      </c>
      <c r="C70" s="6" t="n">
        <f aca="false">Referencias!$C$59/1000</f>
        <v>0.51</v>
      </c>
      <c r="D70" s="6" t="n">
        <f aca="false">Referencias!$C$58/1000</f>
        <v>0.62</v>
      </c>
      <c r="E70" s="6" t="n">
        <f aca="false">Referencias!$C$60/1000</f>
        <v>1.2</v>
      </c>
      <c r="F70" s="6" t="n">
        <f aca="false">B70*C70*D70</f>
        <v>0.3162</v>
      </c>
      <c r="G70" s="5"/>
      <c r="H70" s="5" t="s">
        <v>341</v>
      </c>
      <c r="I70" s="5" t="s">
        <v>342</v>
      </c>
      <c r="J70" s="17" t="s">
        <v>343</v>
      </c>
      <c r="K70" s="5" t="s">
        <v>339</v>
      </c>
      <c r="L70" s="17" t="s">
        <v>92</v>
      </c>
      <c r="M70" s="18"/>
    </row>
    <row r="71" customFormat="false" ht="23.85" hidden="false" customHeight="false" outlineLevel="0" collapsed="false">
      <c r="A71" s="5" t="s">
        <v>344</v>
      </c>
      <c r="B71" s="16" t="n">
        <f aca="false">Referencias!$C$150</f>
        <v>4</v>
      </c>
      <c r="C71" s="6" t="n">
        <f aca="false">Referencias!$C$5/1000</f>
        <v>0.6</v>
      </c>
      <c r="D71" s="6" t="n">
        <f aca="false">Referencias!$C$4/1000</f>
        <v>1.2</v>
      </c>
      <c r="E71" s="6" t="n">
        <f aca="false">Referencias!$C$6/1000</f>
        <v>2</v>
      </c>
      <c r="F71" s="6" t="n">
        <f aca="false">B71*C71*D71</f>
        <v>2.88</v>
      </c>
      <c r="G71" s="5" t="s">
        <v>345</v>
      </c>
      <c r="H71" s="5" t="s">
        <v>346</v>
      </c>
      <c r="I71" s="5" t="s">
        <v>137</v>
      </c>
      <c r="J71" s="17" t="s">
        <v>116</v>
      </c>
      <c r="K71" s="5" t="s">
        <v>347</v>
      </c>
      <c r="L71" s="17" t="s">
        <v>116</v>
      </c>
      <c r="M71" s="18"/>
    </row>
    <row r="72" customFormat="false" ht="23.85" hidden="false" customHeight="false" outlineLevel="0" collapsed="false">
      <c r="A72" s="11" t="s">
        <v>348</v>
      </c>
      <c r="B72" s="12" t="n">
        <f aca="false">Referencias!$C$151</f>
        <v>1</v>
      </c>
      <c r="C72" s="13" t="n">
        <f aca="false">Referencias!$C$8/1000</f>
        <v>0.7</v>
      </c>
      <c r="D72" s="13" t="n">
        <f aca="false">Referencias!$C$7/1000</f>
        <v>1.3</v>
      </c>
      <c r="E72" s="15" t="s">
        <v>119</v>
      </c>
      <c r="F72" s="13" t="n">
        <f aca="false">B72*C72*D72</f>
        <v>0.91</v>
      </c>
      <c r="G72" s="11" t="s">
        <v>120</v>
      </c>
      <c r="H72" s="11" t="s">
        <v>349</v>
      </c>
      <c r="I72" s="11" t="s">
        <v>122</v>
      </c>
      <c r="J72" s="14" t="s">
        <v>116</v>
      </c>
      <c r="K72" s="11" t="s">
        <v>350</v>
      </c>
      <c r="L72" s="14" t="s">
        <v>116</v>
      </c>
      <c r="M72" s="15" t="s">
        <v>124</v>
      </c>
    </row>
    <row r="74" customFormat="false" ht="15" hidden="false" customHeight="false" outlineLevel="0" collapsed="false">
      <c r="A74" s="4" t="s">
        <v>27</v>
      </c>
      <c r="B74" s="19" t="n">
        <f aca="false">Referencias!$C$152</f>
        <v>1</v>
      </c>
      <c r="C74" s="4"/>
      <c r="D74" s="4"/>
      <c r="E74" s="4"/>
      <c r="F74" s="9" t="n">
        <f aca="false">SUM(F75:F77)</f>
        <v>3.395</v>
      </c>
      <c r="G74" s="4" t="str">
        <f aca="false">"máquinas · turnos: "&amp;Referencias!$C$215</f>
        <v>máquinas · turnos: 2</v>
      </c>
      <c r="H74" s="4" t="s">
        <v>351</v>
      </c>
      <c r="I74" s="4"/>
      <c r="J74" s="4"/>
      <c r="K74" s="4" t="s">
        <v>352</v>
      </c>
      <c r="L74" s="10" t="s">
        <v>92</v>
      </c>
      <c r="M74" s="4"/>
    </row>
    <row r="75" customFormat="false" ht="23.85" hidden="false" customHeight="false" outlineLevel="0" collapsed="false">
      <c r="A75" s="5" t="s">
        <v>353</v>
      </c>
      <c r="B75" s="16" t="n">
        <f aca="false">Referencias!$C$152</f>
        <v>1</v>
      </c>
      <c r="C75" s="6" t="n">
        <f aca="false">Referencias!$C$62/1000</f>
        <v>0.5</v>
      </c>
      <c r="D75" s="6" t="n">
        <f aca="false">Referencias!$C$61/1000</f>
        <v>0.65</v>
      </c>
      <c r="E75" s="6" t="n">
        <f aca="false">Referencias!$C$63/1000</f>
        <v>1.45</v>
      </c>
      <c r="F75" s="6" t="n">
        <f aca="false">B75*C75*D75</f>
        <v>0.325</v>
      </c>
      <c r="G75" s="5" t="s">
        <v>354</v>
      </c>
      <c r="H75" s="5" t="s">
        <v>355</v>
      </c>
      <c r="I75" s="5" t="s">
        <v>356</v>
      </c>
      <c r="J75" s="17" t="s">
        <v>357</v>
      </c>
      <c r="K75" s="5" t="s">
        <v>352</v>
      </c>
      <c r="L75" s="17" t="s">
        <v>92</v>
      </c>
      <c r="M75" s="18"/>
    </row>
    <row r="76" customFormat="false" ht="23.85" hidden="false" customHeight="false" outlineLevel="0" collapsed="false">
      <c r="A76" s="5" t="s">
        <v>358</v>
      </c>
      <c r="B76" s="16" t="n">
        <f aca="false">Referencias!$C$153</f>
        <v>3</v>
      </c>
      <c r="C76" s="6" t="n">
        <f aca="false">Referencias!$C$5/1000</f>
        <v>0.6</v>
      </c>
      <c r="D76" s="6" t="n">
        <f aca="false">Referencias!$C$4/1000</f>
        <v>1.2</v>
      </c>
      <c r="E76" s="6" t="n">
        <f aca="false">Referencias!$C$6/1000</f>
        <v>2</v>
      </c>
      <c r="F76" s="6" t="n">
        <f aca="false">B76*C76*D76</f>
        <v>2.16</v>
      </c>
      <c r="G76" s="5" t="s">
        <v>359</v>
      </c>
      <c r="H76" s="5" t="s">
        <v>360</v>
      </c>
      <c r="I76" s="5" t="s">
        <v>137</v>
      </c>
      <c r="J76" s="17" t="s">
        <v>116</v>
      </c>
      <c r="K76" s="5" t="s">
        <v>361</v>
      </c>
      <c r="L76" s="17" t="s">
        <v>116</v>
      </c>
      <c r="M76" s="18"/>
    </row>
    <row r="77" customFormat="false" ht="23.85" hidden="false" customHeight="false" outlineLevel="0" collapsed="false">
      <c r="A77" s="11" t="s">
        <v>362</v>
      </c>
      <c r="B77" s="12" t="n">
        <f aca="false">Referencias!$C$154</f>
        <v>1</v>
      </c>
      <c r="C77" s="13" t="n">
        <f aca="false">Referencias!$C$8/1000</f>
        <v>0.7</v>
      </c>
      <c r="D77" s="13" t="n">
        <f aca="false">Referencias!$C$7/1000</f>
        <v>1.3</v>
      </c>
      <c r="E77" s="15" t="s">
        <v>119</v>
      </c>
      <c r="F77" s="13" t="n">
        <f aca="false">B77*C77*D77</f>
        <v>0.91</v>
      </c>
      <c r="G77" s="11" t="s">
        <v>120</v>
      </c>
      <c r="H77" s="11" t="s">
        <v>363</v>
      </c>
      <c r="I77" s="11" t="s">
        <v>122</v>
      </c>
      <c r="J77" s="14" t="s">
        <v>116</v>
      </c>
      <c r="K77" s="11" t="s">
        <v>364</v>
      </c>
      <c r="L77" s="14" t="s">
        <v>116</v>
      </c>
      <c r="M77" s="15" t="s">
        <v>124</v>
      </c>
    </row>
    <row r="79" customFormat="false" ht="15" hidden="false" customHeight="false" outlineLevel="0" collapsed="false">
      <c r="A79" s="4" t="s">
        <v>28</v>
      </c>
      <c r="B79" s="19" t="n">
        <f aca="false">Referencias!$C$155</f>
        <v>1</v>
      </c>
      <c r="C79" s="4"/>
      <c r="D79" s="4"/>
      <c r="E79" s="4"/>
      <c r="F79" s="9" t="n">
        <f aca="false">SUM(F80:F82)</f>
        <v>3.07</v>
      </c>
      <c r="G79" s="4" t="str">
        <f aca="false">"máquinas · turnos: "&amp;Referencias!$C$216</f>
        <v>máquinas · turnos: 1</v>
      </c>
      <c r="H79" s="4" t="s">
        <v>365</v>
      </c>
      <c r="I79" s="4"/>
      <c r="J79" s="4"/>
      <c r="K79" s="4" t="s">
        <v>366</v>
      </c>
      <c r="L79" s="10" t="s">
        <v>92</v>
      </c>
      <c r="M79" s="4"/>
    </row>
    <row r="80" customFormat="false" ht="15" hidden="false" customHeight="false" outlineLevel="0" collapsed="false">
      <c r="A80" s="5" t="s">
        <v>367</v>
      </c>
      <c r="B80" s="16" t="n">
        <f aca="false">Referencias!$C$155</f>
        <v>1</v>
      </c>
      <c r="C80" s="18" t="s">
        <v>119</v>
      </c>
      <c r="D80" s="18" t="s">
        <v>119</v>
      </c>
      <c r="E80" s="18" t="s">
        <v>119</v>
      </c>
      <c r="G80" s="5" t="s">
        <v>368</v>
      </c>
      <c r="H80" s="5" t="s">
        <v>369</v>
      </c>
      <c r="K80" s="5" t="s">
        <v>366</v>
      </c>
      <c r="L80" s="17" t="s">
        <v>92</v>
      </c>
      <c r="M80" s="18" t="s">
        <v>370</v>
      </c>
    </row>
    <row r="81" customFormat="false" ht="23.85" hidden="false" customHeight="false" outlineLevel="0" collapsed="false">
      <c r="A81" s="5" t="s">
        <v>371</v>
      </c>
      <c r="B81" s="16" t="n">
        <f aca="false">Referencias!$C$156</f>
        <v>3</v>
      </c>
      <c r="C81" s="6" t="n">
        <f aca="false">Referencias!$C$5/1000</f>
        <v>0.6</v>
      </c>
      <c r="D81" s="6" t="n">
        <f aca="false">Referencias!$C$4/1000</f>
        <v>1.2</v>
      </c>
      <c r="E81" s="6" t="n">
        <f aca="false">Referencias!$C$6/1000</f>
        <v>2</v>
      </c>
      <c r="F81" s="6" t="n">
        <f aca="false">B81*C81*D81</f>
        <v>2.16</v>
      </c>
      <c r="G81" s="5" t="s">
        <v>372</v>
      </c>
      <c r="H81" s="5" t="s">
        <v>373</v>
      </c>
      <c r="I81" s="5" t="s">
        <v>137</v>
      </c>
      <c r="J81" s="17" t="s">
        <v>116</v>
      </c>
      <c r="K81" s="5" t="s">
        <v>374</v>
      </c>
      <c r="L81" s="17" t="s">
        <v>116</v>
      </c>
      <c r="M81" s="18"/>
    </row>
    <row r="82" customFormat="false" ht="23.85" hidden="false" customHeight="false" outlineLevel="0" collapsed="false">
      <c r="A82" s="11" t="s">
        <v>375</v>
      </c>
      <c r="B82" s="12" t="n">
        <f aca="false">Referencias!$C$157</f>
        <v>1</v>
      </c>
      <c r="C82" s="13" t="n">
        <f aca="false">Referencias!$C$8/1000</f>
        <v>0.7</v>
      </c>
      <c r="D82" s="13" t="n">
        <f aca="false">Referencias!$C$7/1000</f>
        <v>1.3</v>
      </c>
      <c r="E82" s="15" t="s">
        <v>119</v>
      </c>
      <c r="F82" s="13" t="n">
        <f aca="false">B82*C82*D82</f>
        <v>0.91</v>
      </c>
      <c r="G82" s="11" t="s">
        <v>120</v>
      </c>
      <c r="H82" s="11" t="s">
        <v>376</v>
      </c>
      <c r="I82" s="11" t="s">
        <v>122</v>
      </c>
      <c r="J82" s="14" t="s">
        <v>116</v>
      </c>
      <c r="K82" s="11" t="s">
        <v>377</v>
      </c>
      <c r="L82" s="14" t="s">
        <v>116</v>
      </c>
      <c r="M82" s="15" t="s">
        <v>124</v>
      </c>
    </row>
    <row r="84" customFormat="false" ht="15" hidden="false" customHeight="false" outlineLevel="0" collapsed="false">
      <c r="A84" s="4" t="s">
        <v>29</v>
      </c>
      <c r="B84" s="19" t="n">
        <f aca="false">Referencias!$C$158</f>
        <v>1</v>
      </c>
      <c r="C84" s="4"/>
      <c r="D84" s="4"/>
      <c r="E84" s="4"/>
      <c r="F84" s="9" t="n">
        <f aca="false">SUM(F85:F87)</f>
        <v>3.43</v>
      </c>
      <c r="G84" s="4" t="str">
        <f aca="false">"máquinas · turnos: "&amp;Referencias!$C$217</f>
        <v>máquinas · turnos: 1</v>
      </c>
      <c r="H84" s="4" t="s">
        <v>378</v>
      </c>
      <c r="I84" s="4"/>
      <c r="J84" s="4"/>
      <c r="K84" s="4" t="s">
        <v>379</v>
      </c>
      <c r="L84" s="10" t="s">
        <v>92</v>
      </c>
      <c r="M84" s="4"/>
    </row>
    <row r="85" customFormat="false" ht="23.85" hidden="false" customHeight="false" outlineLevel="0" collapsed="false">
      <c r="A85" s="5" t="s">
        <v>380</v>
      </c>
      <c r="B85" s="16" t="n">
        <f aca="false">Referencias!$C$158</f>
        <v>1</v>
      </c>
      <c r="C85" s="6" t="n">
        <f aca="false">Referencias!$C$65/1000</f>
        <v>1</v>
      </c>
      <c r="D85" s="6" t="n">
        <f aca="false">Referencias!$C$64/1000</f>
        <v>1.8</v>
      </c>
      <c r="E85" s="6" t="n">
        <f aca="false">Referencias!$C$66/1000</f>
        <v>0.9</v>
      </c>
      <c r="F85" s="6" t="n">
        <f aca="false">B85*C85*D85</f>
        <v>1.8</v>
      </c>
      <c r="G85" s="5" t="s">
        <v>381</v>
      </c>
      <c r="H85" s="5" t="s">
        <v>382</v>
      </c>
      <c r="I85" s="5" t="s">
        <v>383</v>
      </c>
      <c r="J85" s="17" t="s">
        <v>357</v>
      </c>
      <c r="K85" s="5" t="s">
        <v>379</v>
      </c>
      <c r="L85" s="17" t="s">
        <v>92</v>
      </c>
      <c r="M85" s="18" t="s">
        <v>384</v>
      </c>
    </row>
    <row r="86" customFormat="false" ht="23.85" hidden="false" customHeight="false" outlineLevel="0" collapsed="false">
      <c r="A86" s="5" t="s">
        <v>385</v>
      </c>
      <c r="B86" s="16" t="n">
        <f aca="false">Referencias!$C$159</f>
        <v>1</v>
      </c>
      <c r="C86" s="6" t="n">
        <f aca="false">Referencias!$C$5/1000</f>
        <v>0.6</v>
      </c>
      <c r="D86" s="6" t="n">
        <f aca="false">Referencias!$C$4/1000</f>
        <v>1.2</v>
      </c>
      <c r="E86" s="6" t="n">
        <f aca="false">Referencias!$C$6/1000</f>
        <v>2</v>
      </c>
      <c r="F86" s="6" t="n">
        <f aca="false">B86*C86*D86</f>
        <v>0.72</v>
      </c>
      <c r="G86" s="5" t="s">
        <v>386</v>
      </c>
      <c r="H86" s="5" t="s">
        <v>387</v>
      </c>
      <c r="I86" s="5" t="s">
        <v>137</v>
      </c>
      <c r="J86" s="17" t="s">
        <v>116</v>
      </c>
      <c r="K86" s="5" t="s">
        <v>388</v>
      </c>
      <c r="L86" s="17" t="s">
        <v>116</v>
      </c>
      <c r="M86" s="18"/>
    </row>
    <row r="87" customFormat="false" ht="23.85" hidden="false" customHeight="false" outlineLevel="0" collapsed="false">
      <c r="A87" s="11" t="s">
        <v>389</v>
      </c>
      <c r="B87" s="12" t="n">
        <f aca="false">Referencias!$C$160</f>
        <v>1</v>
      </c>
      <c r="C87" s="13" t="n">
        <f aca="false">Referencias!$C$8/1000</f>
        <v>0.7</v>
      </c>
      <c r="D87" s="13" t="n">
        <f aca="false">Referencias!$C$7/1000</f>
        <v>1.3</v>
      </c>
      <c r="E87" s="15" t="s">
        <v>119</v>
      </c>
      <c r="F87" s="13" t="n">
        <f aca="false">B87*C87*D87</f>
        <v>0.91</v>
      </c>
      <c r="G87" s="11" t="s">
        <v>120</v>
      </c>
      <c r="H87" s="11" t="s">
        <v>390</v>
      </c>
      <c r="I87" s="11" t="s">
        <v>122</v>
      </c>
      <c r="J87" s="14" t="s">
        <v>116</v>
      </c>
      <c r="K87" s="11" t="s">
        <v>391</v>
      </c>
      <c r="L87" s="14" t="s">
        <v>116</v>
      </c>
      <c r="M87" s="15" t="s">
        <v>124</v>
      </c>
    </row>
    <row r="89" customFormat="false" ht="15" hidden="false" customHeight="false" outlineLevel="0" collapsed="false">
      <c r="A89" s="4" t="s">
        <v>30</v>
      </c>
      <c r="B89" s="19" t="n">
        <f aca="false">Referencias!$C$161</f>
        <v>1</v>
      </c>
      <c r="C89" s="4"/>
      <c r="D89" s="4"/>
      <c r="E89" s="4"/>
      <c r="F89" s="9" t="n">
        <f aca="false">SUM(F90:F92)</f>
        <v>3.07</v>
      </c>
      <c r="G89" s="4" t="str">
        <f aca="false">"máquinas · turnos: "&amp;Referencias!$C$218</f>
        <v>máquinas · turnos: 1</v>
      </c>
      <c r="H89" s="4" t="s">
        <v>392</v>
      </c>
      <c r="I89" s="4"/>
      <c r="J89" s="4"/>
      <c r="K89" s="4" t="s">
        <v>393</v>
      </c>
      <c r="L89" s="10" t="s">
        <v>92</v>
      </c>
      <c r="M89" s="4"/>
    </row>
    <row r="90" customFormat="false" ht="15" hidden="false" customHeight="false" outlineLevel="0" collapsed="false">
      <c r="A90" s="5" t="s">
        <v>394</v>
      </c>
      <c r="B90" s="16" t="n">
        <f aca="false">Referencias!$C$161</f>
        <v>1</v>
      </c>
      <c r="C90" s="18" t="s">
        <v>119</v>
      </c>
      <c r="D90" s="18" t="s">
        <v>119</v>
      </c>
      <c r="E90" s="18" t="s">
        <v>119</v>
      </c>
      <c r="G90" s="5"/>
      <c r="H90" s="5" t="s">
        <v>395</v>
      </c>
      <c r="K90" s="5" t="s">
        <v>393</v>
      </c>
      <c r="L90" s="17" t="s">
        <v>92</v>
      </c>
      <c r="M90" s="18" t="s">
        <v>396</v>
      </c>
    </row>
    <row r="91" customFormat="false" ht="23.85" hidden="false" customHeight="false" outlineLevel="0" collapsed="false">
      <c r="A91" s="5" t="s">
        <v>397</v>
      </c>
      <c r="B91" s="16" t="n">
        <f aca="false">Referencias!$C$162</f>
        <v>3</v>
      </c>
      <c r="C91" s="6" t="n">
        <f aca="false">Referencias!$C$5/1000</f>
        <v>0.6</v>
      </c>
      <c r="D91" s="6" t="n">
        <f aca="false">Referencias!$C$4/1000</f>
        <v>1.2</v>
      </c>
      <c r="E91" s="6" t="n">
        <f aca="false">Referencias!$C$6/1000</f>
        <v>2</v>
      </c>
      <c r="F91" s="6" t="n">
        <f aca="false">B91*C91*D91</f>
        <v>2.16</v>
      </c>
      <c r="G91" s="5" t="s">
        <v>398</v>
      </c>
      <c r="H91" s="5" t="s">
        <v>399</v>
      </c>
      <c r="I91" s="5" t="s">
        <v>137</v>
      </c>
      <c r="J91" s="17" t="s">
        <v>116</v>
      </c>
      <c r="K91" s="5" t="s">
        <v>400</v>
      </c>
      <c r="L91" s="17" t="s">
        <v>116</v>
      </c>
      <c r="M91" s="18"/>
    </row>
    <row r="92" customFormat="false" ht="23.85" hidden="false" customHeight="false" outlineLevel="0" collapsed="false">
      <c r="A92" s="11" t="s">
        <v>401</v>
      </c>
      <c r="B92" s="12" t="n">
        <f aca="false">Referencias!$C$16</f>
        <v>1</v>
      </c>
      <c r="C92" s="13" t="n">
        <f aca="false">Referencias!$C$8/1000</f>
        <v>0.7</v>
      </c>
      <c r="D92" s="13" t="n">
        <f aca="false">Referencias!$C$7/1000</f>
        <v>1.3</v>
      </c>
      <c r="E92" s="15" t="s">
        <v>119</v>
      </c>
      <c r="F92" s="13" t="n">
        <f aca="false">B92*C92*D92</f>
        <v>0.91</v>
      </c>
      <c r="G92" s="11" t="s">
        <v>120</v>
      </c>
      <c r="H92" s="11" t="s">
        <v>245</v>
      </c>
      <c r="I92" s="11" t="s">
        <v>122</v>
      </c>
      <c r="J92" s="14" t="s">
        <v>116</v>
      </c>
      <c r="K92" s="11" t="s">
        <v>246</v>
      </c>
      <c r="L92" s="11"/>
      <c r="M92" s="15" t="s">
        <v>402</v>
      </c>
    </row>
    <row r="94" customFormat="false" ht="15" hidden="false" customHeight="false" outlineLevel="0" collapsed="false">
      <c r="A94" s="4" t="s">
        <v>31</v>
      </c>
      <c r="B94" s="19" t="n">
        <f aca="false">Referencias!$C$164</f>
        <v>2</v>
      </c>
      <c r="C94" s="4"/>
      <c r="D94" s="4"/>
      <c r="E94" s="4"/>
      <c r="F94" s="9" t="n">
        <f aca="false">SUM(F95:F97)</f>
        <v>5.94</v>
      </c>
      <c r="G94" s="4" t="str">
        <f aca="false">"máquinas · turnos: "&amp;Referencias!$C$219</f>
        <v>máquinas · turnos: 2</v>
      </c>
      <c r="H94" s="4" t="s">
        <v>403</v>
      </c>
      <c r="I94" s="4"/>
      <c r="J94" s="4"/>
      <c r="K94" s="4" t="s">
        <v>404</v>
      </c>
      <c r="L94" s="10" t="s">
        <v>92</v>
      </c>
      <c r="M94" s="4"/>
    </row>
    <row r="95" customFormat="false" ht="23.85" hidden="false" customHeight="false" outlineLevel="0" collapsed="false">
      <c r="A95" s="5" t="s">
        <v>405</v>
      </c>
      <c r="B95" s="16" t="n">
        <f aca="false">Referencias!$C$70</f>
        <v>1</v>
      </c>
      <c r="C95" s="6" t="n">
        <f aca="false">Referencias!$C$68/1000</f>
        <v>1.5</v>
      </c>
      <c r="D95" s="6" t="n">
        <f aca="false">Referencias!$C$67/1000</f>
        <v>3</v>
      </c>
      <c r="E95" s="6" t="n">
        <f aca="false">Referencias!$C$69/1000</f>
        <v>2.5</v>
      </c>
      <c r="F95" s="6" t="n">
        <f aca="false">B95*C95*D95</f>
        <v>4.5</v>
      </c>
      <c r="G95" s="5" t="s">
        <v>406</v>
      </c>
      <c r="H95" s="5" t="s">
        <v>407</v>
      </c>
      <c r="I95" s="5" t="s">
        <v>408</v>
      </c>
      <c r="J95" s="17" t="s">
        <v>409</v>
      </c>
      <c r="K95" s="5" t="s">
        <v>410</v>
      </c>
      <c r="L95" s="17" t="s">
        <v>409</v>
      </c>
      <c r="M95" s="18"/>
    </row>
    <row r="96" customFormat="false" ht="15" hidden="false" customHeight="false" outlineLevel="0" collapsed="false">
      <c r="A96" s="5" t="s">
        <v>411</v>
      </c>
      <c r="B96" s="16" t="n">
        <f aca="false">Referencias!$C$164</f>
        <v>2</v>
      </c>
      <c r="C96" s="18" t="s">
        <v>119</v>
      </c>
      <c r="D96" s="18" t="s">
        <v>119</v>
      </c>
      <c r="E96" s="18" t="s">
        <v>119</v>
      </c>
      <c r="G96" s="5"/>
      <c r="H96" s="5" t="s">
        <v>412</v>
      </c>
      <c r="K96" s="5" t="s">
        <v>404</v>
      </c>
      <c r="L96" s="17" t="s">
        <v>92</v>
      </c>
      <c r="M96" s="18" t="s">
        <v>207</v>
      </c>
    </row>
    <row r="97" customFormat="false" ht="23.85" hidden="false" customHeight="false" outlineLevel="0" collapsed="false">
      <c r="A97" s="11" t="s">
        <v>413</v>
      </c>
      <c r="B97" s="12" t="n">
        <f aca="false">Referencias!$C$165</f>
        <v>2</v>
      </c>
      <c r="C97" s="13" t="n">
        <f aca="false">Referencias!$C$5/1000</f>
        <v>0.6</v>
      </c>
      <c r="D97" s="13" t="n">
        <f aca="false">Referencias!$C$4/1000</f>
        <v>1.2</v>
      </c>
      <c r="E97" s="13" t="n">
        <f aca="false">Referencias!$C$6/1000</f>
        <v>2</v>
      </c>
      <c r="F97" s="13" t="n">
        <f aca="false">B97*C97*D97</f>
        <v>1.44</v>
      </c>
      <c r="G97" s="11" t="s">
        <v>414</v>
      </c>
      <c r="H97" s="11" t="s">
        <v>415</v>
      </c>
      <c r="I97" s="11" t="s">
        <v>137</v>
      </c>
      <c r="J97" s="14" t="s">
        <v>116</v>
      </c>
      <c r="K97" s="11" t="s">
        <v>416</v>
      </c>
      <c r="L97" s="14" t="s">
        <v>116</v>
      </c>
      <c r="M97" s="15"/>
    </row>
  </sheetData>
  <hyperlinks>
    <hyperlink ref="L5" r:id="rId1" display="https://drive.google.com/file/d/1SwGuppOSsaAXO29onhyWUH40O1h_4XmG/view"/>
    <hyperlink ref="J6" r:id="rId2" display="https://www.exapro.com/sp/sangiacomo-t130rce-19888"/>
    <hyperlink ref="L6" r:id="rId3" display="https://drive.google.com/file/d/1SwGuppOSsaAXO29onhyWUH40O1h_4XmG/view"/>
    <hyperlink ref="J7" r:id="rId4" display="https://drive.google.com/file/d/1vnSpthna2z5ooZpg7lA9GT3m9wSFvEh6/view"/>
    <hyperlink ref="L7" r:id="rId5" display="https://drive.google.com/file/d/1SwGuppOSsaAXO29onhyWUH40O1h_4XmG/view"/>
    <hyperlink ref="J8" r:id="rId6" display="https://drive.google.com/file/d/1vnSpthna2z5ooZpg7lA9GT3m9wSFvEh6/view"/>
    <hyperlink ref="L8" r:id="rId7" display="https://drive.google.com/file/d/1SwGuppOSsaAXO29onhyWUH40O1h_4XmG/view"/>
    <hyperlink ref="J9" r:id="rId8" display="https://drive.google.com/file/d/1CxHINAnd0jSBd5QuU5_82_sKCJAVXu9r/view"/>
    <hyperlink ref="L9" r:id="rId9" display="https://drive.google.com/file/d/1CxHINAnd0jSBd5QuU5_82_sKCJAVXu9r/view"/>
    <hyperlink ref="J10" r:id="rId10" display="https://drive.google.com/file/d/1CxHINAnd0jSBd5QuU5_82_sKCJAVXu9r/view"/>
    <hyperlink ref="L10" r:id="rId11" display="https://drive.google.com/file/d/1CxHINAnd0jSBd5QuU5_82_sKCJAVXu9r/view"/>
    <hyperlink ref="J11" r:id="rId12" display="https://drive.google.com/file/d/1CxHINAnd0jSBd5QuU5_82_sKCJAVXu9r/view"/>
    <hyperlink ref="L11" r:id="rId13" display="https://drive.google.com/file/d/1CxHINAnd0jSBd5QuU5_82_sKCJAVXu9r/view"/>
    <hyperlink ref="L13" r:id="rId14" display="https://drive.google.com/file/d/1SwGuppOSsaAXO29onhyWUH40O1h_4XmG/view"/>
    <hyperlink ref="L14" r:id="rId15" display="https://drive.google.com/file/d/1SwGuppOSsaAXO29onhyWUH40O1h_4XmG/view"/>
    <hyperlink ref="L16" r:id="rId16" display="https://drive.google.com/file/d/1SwGuppOSsaAXO29onhyWUH40O1h_4XmG/view"/>
    <hyperlink ref="J17" r:id="rId17" display="https://drive.google.com/file/d/12VJ8POMn2I0VnGP2nnL7FZAyA2cLw37y/view"/>
    <hyperlink ref="L17" r:id="rId18" display="https://drive.google.com/file/d/1SwGuppOSsaAXO29onhyWUH40O1h_4XmG/view"/>
    <hyperlink ref="J18" r:id="rId19" display="https://drive.google.com/file/d/1CxHINAnd0jSBd5QuU5_82_sKCJAVXu9r/view"/>
    <hyperlink ref="L18" r:id="rId20" display="https://drive.google.com/file/d/1CxHINAnd0jSBd5QuU5_82_sKCJAVXu9r/view"/>
    <hyperlink ref="J19" r:id="rId21" display="https://drive.google.com/file/d/1CxHINAnd0jSBd5QuU5_82_sKCJAVXu9r/view"/>
    <hyperlink ref="L19" r:id="rId22" display="https://drive.google.com/file/d/1CxHINAnd0jSBd5QuU5_82_sKCJAVXu9r/view"/>
    <hyperlink ref="L21" r:id="rId23" display="https://drive.google.com/file/d/1SwGuppOSsaAXO29onhyWUH40O1h_4XmG/view"/>
    <hyperlink ref="J22" r:id="rId24" display="https://drive.google.com/file/d/12VJ8POMn2I0VnGP2nnL7FZAyA2cLw37y/view"/>
    <hyperlink ref="L22" r:id="rId25" display="https://drive.google.com/file/d/1SwGuppOSsaAXO29onhyWUH40O1h_4XmG/view"/>
    <hyperlink ref="J23" r:id="rId26" display="https://drive.google.com/file/d/1CxHINAnd0jSBd5QuU5_82_sKCJAVXu9r/view"/>
    <hyperlink ref="L23" r:id="rId27" display="https://drive.google.com/file/d/1CxHINAnd0jSBd5QuU5_82_sKCJAVXu9r/view"/>
    <hyperlink ref="L25" r:id="rId28" display="https://drive.google.com/file/d/1SwGuppOSsaAXO29onhyWUH40O1h_4XmG/view"/>
    <hyperlink ref="J26" r:id="rId29" display="https://china.org.ru/product/1607235162"/>
    <hyperlink ref="L26" r:id="rId30" display="https://drive.google.com/file/d/1SwGuppOSsaAXO29onhyWUH40O1h_4XmG/view"/>
    <hyperlink ref="J27" r:id="rId31" display="https://drive.google.com/file/d/1CxHINAnd0jSBd5QuU5_82_sKCJAVXu9r/view"/>
    <hyperlink ref="L27" r:id="rId32" display="https://drive.google.com/file/d/1CxHINAnd0jSBd5QuU5_82_sKCJAVXu9r/view"/>
    <hyperlink ref="J28" r:id="rId33" display="https://drive.google.com/file/d/1CxHINAnd0jSBd5QuU5_82_sKCJAVXu9r/view"/>
    <hyperlink ref="L30" r:id="rId34" display="https://drive.google.com/file/d/1SwGuppOSsaAXO29onhyWUH40O1h_4XmG/view"/>
    <hyperlink ref="L31" r:id="rId35" display="https://drive.google.com/file/d/1SwGuppOSsaAXO29onhyWUH40O1h_4XmG/view"/>
    <hyperlink ref="L33" r:id="rId36" display="https://drive.google.com/file/d/1SwGuppOSsaAXO29onhyWUH40O1h_4XmG/view"/>
    <hyperlink ref="L34" r:id="rId37" display="https://drive.google.com/file/d/1SwGuppOSsaAXO29onhyWUH40O1h_4XmG/view"/>
    <hyperlink ref="J35" r:id="rId38" display="https://drive.google.com/file/d/1CxHINAnd0jSBd5QuU5_82_sKCJAVXu9r/view"/>
    <hyperlink ref="L35" r:id="rId39" display="https://drive.google.com/file/d/1CxHINAnd0jSBd5QuU5_82_sKCJAVXu9r/view"/>
    <hyperlink ref="J36" r:id="rId40" display="https://drive.google.com/file/d/1CxHINAnd0jSBd5QuU5_82_sKCJAVXu9r/view"/>
    <hyperlink ref="L36" r:id="rId41" display="https://drive.google.com/file/d/1CxHINAnd0jSBd5QuU5_82_sKCJAVXu9r/view"/>
    <hyperlink ref="J37" r:id="rId42" display="https://drive.google.com/file/d/1CxHINAnd0jSBd5QuU5_82_sKCJAVXu9r/view"/>
    <hyperlink ref="L39" r:id="rId43" display="https://drive.google.com/file/d/1SwGuppOSsaAXO29onhyWUH40O1h_4XmG/view"/>
    <hyperlink ref="J40" r:id="rId44" display="https://resale.info/en/ak-bend-akm-250-motor./No-165720938"/>
    <hyperlink ref="L40" r:id="rId45" display="https://drive.google.com/file/d/1SwGuppOSsaAXO29onhyWUH40O1h_4XmG/view"/>
    <hyperlink ref="J41" r:id="rId46" display="https://drive.google.com/file/d/1CxHINAnd0jSBd5QuU5_82_sKCJAVXu9r/view"/>
    <hyperlink ref="L41" r:id="rId47" display="https://drive.google.com/file/d/1CxHINAnd0jSBd5QuU5_82_sKCJAVXu9r/view"/>
    <hyperlink ref="L43" r:id="rId48" display="https://drive.google.com/file/d/1SwGuppOSsaAXO29onhyWUH40O1h_4XmG/view"/>
    <hyperlink ref="L44" r:id="rId49" display="https://drive.google.com/file/d/1SwGuppOSsaAXO29onhyWUH40O1h_4XmG/view"/>
    <hyperlink ref="J45" r:id="rId50" display="https://drive.google.com/file/d/1CxHINAnd0jSBd5QuU5_82_sKCJAVXu9r/view"/>
    <hyperlink ref="L45" r:id="rId51" display="https://drive.google.com/file/d/1CxHINAnd0jSBd5QuU5_82_sKCJAVXu9r/view"/>
    <hyperlink ref="J46" r:id="rId52" display="https://drive.google.com/file/d/1CxHINAnd0jSBd5QuU5_82_sKCJAVXu9r/view"/>
    <hyperlink ref="L46" r:id="rId53" display="https://drive.google.com/file/d/1CxHINAnd0jSBd5QuU5_82_sKCJAVXu9r/view"/>
    <hyperlink ref="J47" r:id="rId54" display="https://drive.google.com/file/d/1CxHINAnd0jSBd5QuU5_82_sKCJAVXu9r/view"/>
    <hyperlink ref="L47" r:id="rId55" display="https://drive.google.com/file/d/1CxHINAnd0jSBd5QuU5_82_sKCJAVXu9r/view"/>
    <hyperlink ref="L49" r:id="rId56" display="https://drive.google.com/file/d/1SwGuppOSsaAXO29onhyWUH40O1h_4XmG/view"/>
    <hyperlink ref="L50" r:id="rId57" display="https://drive.google.com/file/d/1SwGuppOSsaAXO29onhyWUH40O1h_4XmG/view"/>
    <hyperlink ref="L52" r:id="rId58" display="https://drive.google.com/file/d/1SwGuppOSsaAXO29onhyWUH40O1h_4XmG/view"/>
    <hyperlink ref="J53" r:id="rId59" display="https://drive.google.com/file/d/1WuRcYbuJsfRRfZVtH2vvID_x4sdWeMNW/view"/>
    <hyperlink ref="L53" r:id="rId60" display="https://drive.google.com/file/d/1SwGuppOSsaAXO29onhyWUH40O1h_4XmG/view"/>
    <hyperlink ref="J54" r:id="rId61" display="https://drive.google.com/file/d/1CxHINAnd0jSBd5QuU5_82_sKCJAVXu9r/view"/>
    <hyperlink ref="L54" r:id="rId62" display="https://drive.google.com/file/d/1CxHINAnd0jSBd5QuU5_82_sKCJAVXu9r/view"/>
    <hyperlink ref="L56" r:id="rId63" display="https://drive.google.com/file/d/1SwGuppOSsaAXO29onhyWUH40O1h_4XmG/view"/>
    <hyperlink ref="L57" r:id="rId64" display="https://drive.google.com/file/d/1SwGuppOSsaAXO29onhyWUH40O1h_4XmG/view"/>
    <hyperlink ref="L59" r:id="rId65" display="https://drive.google.com/file/d/1SwGuppOSsaAXO29onhyWUH40O1h_4XmG/view"/>
    <hyperlink ref="L60" r:id="rId66" display="https://drive.google.com/file/d/1SwGuppOSsaAXO29onhyWUH40O1h_4XmG/view"/>
    <hyperlink ref="L62" r:id="rId67" display="https://drive.google.com/file/d/1SwGuppOSsaAXO29onhyWUH40O1h_4XmG/view"/>
    <hyperlink ref="J63" r:id="rId68" display="https://drive.google.com/file/d/1cekl22rgI4pB7ik3qNjOe7DJZVNJ-voK/view"/>
    <hyperlink ref="L63" r:id="rId69" display="https://drive.google.com/file/d/1cekl22rgI4pB7ik3qNjOe7DJZVNJ-voK/view"/>
    <hyperlink ref="J64" r:id="rId70" display="https://drive.google.com/file/d/1cekl22rgI4pB7ik3qNjOe7DJZVNJ-voK/view"/>
    <hyperlink ref="L64" r:id="rId71" display="https://drive.google.com/file/d/1cekl22rgI4pB7ik3qNjOe7DJZVNJ-voK/view"/>
    <hyperlink ref="J65" r:id="rId72" display="https://drive.google.com/file/d/1CxHINAnd0jSBd5QuU5_82_sKCJAVXu9r/view"/>
    <hyperlink ref="L65" r:id="rId73" display="https://drive.google.com/file/d/1CxHINAnd0jSBd5QuU5_82_sKCJAVXu9r/view"/>
    <hyperlink ref="J66" r:id="rId74" display="https://drive.google.com/file/d/1CxHINAnd0jSBd5QuU5_82_sKCJAVXu9r/view"/>
    <hyperlink ref="J67" r:id="rId75" display="https://drive.google.com/file/d/1CxHINAnd0jSBd5QuU5_82_sKCJAVXu9r/view"/>
    <hyperlink ref="L69" r:id="rId76" display="https://drive.google.com/file/d/1SwGuppOSsaAXO29onhyWUH40O1h_4XmG/view"/>
    <hyperlink ref="J70" r:id="rId77" display="https://drive.google.com/file/d/1EgGHDA3POFrFvroBTnP4I855u6ADRbJu/view"/>
    <hyperlink ref="L70" r:id="rId78" display="https://drive.google.com/file/d/1SwGuppOSsaAXO29onhyWUH40O1h_4XmG/view"/>
    <hyperlink ref="J71" r:id="rId79" display="https://drive.google.com/file/d/1CxHINAnd0jSBd5QuU5_82_sKCJAVXu9r/view"/>
    <hyperlink ref="L71" r:id="rId80" display="https://drive.google.com/file/d/1CxHINAnd0jSBd5QuU5_82_sKCJAVXu9r/view"/>
    <hyperlink ref="J72" r:id="rId81" display="https://drive.google.com/file/d/1CxHINAnd0jSBd5QuU5_82_sKCJAVXu9r/view"/>
    <hyperlink ref="L72" r:id="rId82" display="https://drive.google.com/file/d/1CxHINAnd0jSBd5QuU5_82_sKCJAVXu9r/view"/>
    <hyperlink ref="L74" r:id="rId83" display="https://drive.google.com/file/d/1SwGuppOSsaAXO29onhyWUH40O1h_4XmG/view"/>
    <hyperlink ref="J75" r:id="rId84" display="https://drive.google.com/file/d/1xN6cXKY00nOszWwFanDEHzmIV3x-bABC/view"/>
    <hyperlink ref="L75" r:id="rId85" display="https://drive.google.com/file/d/1SwGuppOSsaAXO29onhyWUH40O1h_4XmG/view"/>
    <hyperlink ref="J76" r:id="rId86" display="https://drive.google.com/file/d/1CxHINAnd0jSBd5QuU5_82_sKCJAVXu9r/view"/>
    <hyperlink ref="L76" r:id="rId87" display="https://drive.google.com/file/d/1CxHINAnd0jSBd5QuU5_82_sKCJAVXu9r/view"/>
    <hyperlink ref="J77" r:id="rId88" display="https://drive.google.com/file/d/1CxHINAnd0jSBd5QuU5_82_sKCJAVXu9r/view"/>
    <hyperlink ref="L77" r:id="rId89" display="https://drive.google.com/file/d/1CxHINAnd0jSBd5QuU5_82_sKCJAVXu9r/view"/>
    <hyperlink ref="L79" r:id="rId90" display="https://drive.google.com/file/d/1SwGuppOSsaAXO29onhyWUH40O1h_4XmG/view"/>
    <hyperlink ref="L80" r:id="rId91" display="https://drive.google.com/file/d/1SwGuppOSsaAXO29onhyWUH40O1h_4XmG/view"/>
    <hyperlink ref="J81" r:id="rId92" display="https://drive.google.com/file/d/1CxHINAnd0jSBd5QuU5_82_sKCJAVXu9r/view"/>
    <hyperlink ref="L81" r:id="rId93" display="https://drive.google.com/file/d/1CxHINAnd0jSBd5QuU5_82_sKCJAVXu9r/view"/>
    <hyperlink ref="J82" r:id="rId94" display="https://drive.google.com/file/d/1CxHINAnd0jSBd5QuU5_82_sKCJAVXu9r/view"/>
    <hyperlink ref="L82" r:id="rId95" display="https://drive.google.com/file/d/1CxHINAnd0jSBd5QuU5_82_sKCJAVXu9r/view"/>
    <hyperlink ref="L84" r:id="rId96" display="https://drive.google.com/file/d/1SwGuppOSsaAXO29onhyWUH40O1h_4XmG/view"/>
    <hyperlink ref="J85" r:id="rId97" display="https://drive.google.com/file/d/1xN6cXKY00nOszWwFanDEHzmIV3x-bABC/view"/>
    <hyperlink ref="L85" r:id="rId98" display="https://drive.google.com/file/d/1SwGuppOSsaAXO29onhyWUH40O1h_4XmG/view"/>
    <hyperlink ref="J86" r:id="rId99" display="https://drive.google.com/file/d/1CxHINAnd0jSBd5QuU5_82_sKCJAVXu9r/view"/>
    <hyperlink ref="L86" r:id="rId100" display="https://drive.google.com/file/d/1CxHINAnd0jSBd5QuU5_82_sKCJAVXu9r/view"/>
    <hyperlink ref="J87" r:id="rId101" display="https://drive.google.com/file/d/1CxHINAnd0jSBd5QuU5_82_sKCJAVXu9r/view"/>
    <hyperlink ref="L87" r:id="rId102" display="https://drive.google.com/file/d/1CxHINAnd0jSBd5QuU5_82_sKCJAVXu9r/view"/>
    <hyperlink ref="L89" r:id="rId103" display="https://drive.google.com/file/d/1SwGuppOSsaAXO29onhyWUH40O1h_4XmG/view"/>
    <hyperlink ref="L90" r:id="rId104" display="https://drive.google.com/file/d/1SwGuppOSsaAXO29onhyWUH40O1h_4XmG/view"/>
    <hyperlink ref="J91" r:id="rId105" display="https://drive.google.com/file/d/1CxHINAnd0jSBd5QuU5_82_sKCJAVXu9r/view"/>
    <hyperlink ref="L91" r:id="rId106" display="https://drive.google.com/file/d/1CxHINAnd0jSBd5QuU5_82_sKCJAVXu9r/view"/>
    <hyperlink ref="J92" r:id="rId107" display="https://drive.google.com/file/d/1CxHINAnd0jSBd5QuU5_82_sKCJAVXu9r/view"/>
    <hyperlink ref="L94" r:id="rId108" display="https://drive.google.com/file/d/1SwGuppOSsaAXO29onhyWUH40O1h_4XmG/view"/>
    <hyperlink ref="J95" r:id="rId109" display="https://drive.google.com/file/d/1WEVAv6MnsB0PGj5eDDb08PFQzJeXyT88/view"/>
    <hyperlink ref="L95" r:id="rId110" display="https://drive.google.com/file/d/1WEVAv6MnsB0PGj5eDDb08PFQzJeXyT88/view"/>
    <hyperlink ref="L96" r:id="rId111" display="https://drive.google.com/file/d/1SwGuppOSsaAXO29onhyWUH40O1h_4XmG/view"/>
    <hyperlink ref="J97" r:id="rId112" display="https://drive.google.com/file/d/1CxHINAnd0jSBd5QuU5_82_sKCJAVXu9r/view"/>
    <hyperlink ref="L97" r:id="rId113" display="https://drive.google.com/file/d/1CxHINAnd0jSBd5QuU5_82_sKCJAVXu9r/vie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7"/>
    <col collapsed="false" customWidth="true" hidden="false" outlineLevel="0" max="5" min="3" style="0" width="9"/>
    <col collapsed="false" customWidth="true" hidden="false" outlineLevel="0" max="6" min="6" style="0" width="10"/>
    <col collapsed="false" customWidth="true" hidden="false" outlineLevel="0" max="7" min="7" style="0" width="30"/>
    <col collapsed="false" customWidth="true" hidden="false" outlineLevel="0" max="8" min="8" style="0" width="16"/>
    <col collapsed="false" customWidth="true" hidden="false" outlineLevel="0" max="9" min="9" style="0" width="46"/>
    <col collapsed="false" customWidth="true" hidden="false" outlineLevel="0" max="12" min="10" style="0" width="40"/>
    <col collapsed="false" customWidth="true" hidden="false" outlineLevel="0" max="13" min="13" style="0" width="50"/>
  </cols>
  <sheetData>
    <row r="1" customFormat="false" ht="16.15" hidden="false" customHeight="false" outlineLevel="0" collapsed="false">
      <c r="A1" s="1" t="s">
        <v>417</v>
      </c>
    </row>
    <row r="2" customFormat="false" ht="15" hidden="false" customHeight="false" outlineLevel="0" collapsed="false">
      <c r="A2" s="2" t="s">
        <v>75</v>
      </c>
    </row>
    <row r="4" customFormat="false" ht="15" hidden="false" customHeight="false" outlineLevel="0" collapsed="false">
      <c r="A4" s="3" t="s">
        <v>76</v>
      </c>
      <c r="B4" s="3" t="s">
        <v>78</v>
      </c>
      <c r="C4" s="3" t="s">
        <v>79</v>
      </c>
      <c r="D4" s="3" t="s">
        <v>80</v>
      </c>
      <c r="E4" s="3" t="s">
        <v>81</v>
      </c>
      <c r="F4" s="3" t="s">
        <v>82</v>
      </c>
      <c r="G4" s="3" t="s">
        <v>83</v>
      </c>
      <c r="H4" s="3" t="s">
        <v>84</v>
      </c>
      <c r="I4" s="3" t="s">
        <v>85</v>
      </c>
      <c r="J4" s="3" t="s">
        <v>86</v>
      </c>
      <c r="K4" s="3" t="s">
        <v>87</v>
      </c>
      <c r="L4" s="3" t="s">
        <v>88</v>
      </c>
      <c r="M4" s="3" t="s">
        <v>89</v>
      </c>
    </row>
    <row r="5" customFormat="false" ht="15" hidden="false" customHeight="false" outlineLevel="0" collapsed="false">
      <c r="A5" s="4" t="s">
        <v>34</v>
      </c>
      <c r="B5" s="19" t="n">
        <f aca="false">Referencias!$C$181</f>
        <v>1</v>
      </c>
      <c r="C5" s="4"/>
      <c r="D5" s="4"/>
      <c r="E5" s="4"/>
      <c r="F5" s="9" t="n">
        <f aca="false">SUM(F6:F7)</f>
        <v>9.259241585</v>
      </c>
      <c r="G5" s="4" t="str">
        <f aca="false">"máquinas · turnos: "&amp;Referencias!$C$220</f>
        <v>máquinas · turnos: 1</v>
      </c>
      <c r="H5" s="4" t="s">
        <v>418</v>
      </c>
      <c r="I5" s="4"/>
      <c r="J5" s="4"/>
      <c r="K5" s="4" t="s">
        <v>419</v>
      </c>
      <c r="L5" s="10" t="s">
        <v>92</v>
      </c>
      <c r="M5" s="4"/>
    </row>
    <row r="6" customFormat="false" ht="23.85" hidden="false" customHeight="false" outlineLevel="0" collapsed="false">
      <c r="A6" s="5" t="s">
        <v>420</v>
      </c>
      <c r="B6" s="16" t="n">
        <f aca="false">Referencias!$C$181</f>
        <v>1</v>
      </c>
      <c r="C6" s="6" t="n">
        <f aca="false">Referencias!$C$81/100</f>
        <v>1.21</v>
      </c>
      <c r="D6" s="6" t="n">
        <f aca="false">Referencias!$C$80/100</f>
        <v>3.31</v>
      </c>
      <c r="E6" s="6" t="n">
        <f aca="false">Referencias!$C$82/100</f>
        <v>1.33</v>
      </c>
      <c r="F6" s="6" t="n">
        <f aca="false">B6*C6*D6</f>
        <v>4.0051</v>
      </c>
      <c r="G6" s="5"/>
      <c r="H6" s="5" t="s">
        <v>421</v>
      </c>
      <c r="I6" s="5" t="s">
        <v>422</v>
      </c>
      <c r="J6" s="17" t="s">
        <v>423</v>
      </c>
      <c r="K6" s="5" t="s">
        <v>419</v>
      </c>
      <c r="L6" s="17" t="s">
        <v>92</v>
      </c>
      <c r="M6" s="18" t="s">
        <v>424</v>
      </c>
    </row>
    <row r="7" customFormat="false" ht="35.05" hidden="false" customHeight="false" outlineLevel="0" collapsed="false">
      <c r="A7" s="11" t="s">
        <v>425</v>
      </c>
      <c r="B7" s="20"/>
      <c r="C7" s="11" t="s">
        <v>426</v>
      </c>
      <c r="D7" s="11" t="s">
        <v>426</v>
      </c>
      <c r="E7" s="11" t="s">
        <v>426</v>
      </c>
      <c r="F7" s="13" t="n">
        <f aca="false">Referencias!$C$183/Referencias!$C$13</f>
        <v>5.254141585</v>
      </c>
      <c r="G7" s="11" t="s">
        <v>427</v>
      </c>
      <c r="H7" s="11" t="s">
        <v>428</v>
      </c>
      <c r="I7" s="11" t="s">
        <v>429</v>
      </c>
      <c r="J7" s="14" t="s">
        <v>116</v>
      </c>
      <c r="K7" s="20"/>
      <c r="L7" s="20"/>
      <c r="M7" s="20"/>
    </row>
    <row r="9" customFormat="false" ht="15" hidden="false" customHeight="false" outlineLevel="0" collapsed="false">
      <c r="A9" s="4" t="s">
        <v>35</v>
      </c>
      <c r="B9" s="19" t="n">
        <f aca="false">Referencias!$C$184</f>
        <v>1</v>
      </c>
      <c r="C9" s="4"/>
      <c r="D9" s="4"/>
      <c r="E9" s="4"/>
      <c r="F9" s="9" t="n">
        <f aca="false">SUM(F10:F12)</f>
        <v>0.5752</v>
      </c>
      <c r="G9" s="4" t="str">
        <f aca="false">"máquinas · turnos: "&amp;Referencias!$C$221</f>
        <v>máquinas · turnos: 1</v>
      </c>
      <c r="H9" s="4" t="s">
        <v>430</v>
      </c>
      <c r="I9" s="4"/>
      <c r="J9" s="4"/>
      <c r="K9" s="4" t="s">
        <v>431</v>
      </c>
      <c r="L9" s="10" t="s">
        <v>92</v>
      </c>
      <c r="M9" s="4"/>
    </row>
    <row r="10" customFormat="false" ht="23.85" hidden="false" customHeight="false" outlineLevel="0" collapsed="false">
      <c r="A10" s="5" t="s">
        <v>432</v>
      </c>
      <c r="B10" s="16" t="n">
        <f aca="false">Referencias!$C$184</f>
        <v>1</v>
      </c>
      <c r="C10" s="6" t="n">
        <f aca="false">Referencias!$C$84/1000</f>
        <v>0.32</v>
      </c>
      <c r="D10" s="6" t="n">
        <f aca="false">Referencias!$C$83/1000</f>
        <v>0.47</v>
      </c>
      <c r="E10" s="6" t="n">
        <f aca="false">Referencias!$C$85/1000</f>
        <v>0.334</v>
      </c>
      <c r="F10" s="6" t="n">
        <f aca="false">B10*C10*D10</f>
        <v>0.1504</v>
      </c>
      <c r="G10" s="5" t="s">
        <v>433</v>
      </c>
      <c r="H10" s="5" t="s">
        <v>434</v>
      </c>
      <c r="I10" s="5" t="s">
        <v>435</v>
      </c>
      <c r="J10" s="17" t="s">
        <v>436</v>
      </c>
      <c r="K10" s="5" t="s">
        <v>431</v>
      </c>
      <c r="L10" s="17" t="s">
        <v>92</v>
      </c>
      <c r="M10" s="18" t="s">
        <v>437</v>
      </c>
    </row>
    <row r="11" customFormat="false" ht="23.85" hidden="false" customHeight="false" outlineLevel="0" collapsed="false">
      <c r="A11" s="5" t="s">
        <v>438</v>
      </c>
      <c r="B11" s="16" t="n">
        <f aca="false">Referencias!$C$184</f>
        <v>1</v>
      </c>
      <c r="C11" s="6" t="n">
        <f aca="false">Referencias!$C$87/1000</f>
        <v>0.16</v>
      </c>
      <c r="D11" s="6" t="n">
        <f aca="false">Referencias!$C$86/1000</f>
        <v>0.45</v>
      </c>
      <c r="E11" s="6" t="n">
        <f aca="false">Referencias!$C$88/1000</f>
        <v>0.334</v>
      </c>
      <c r="F11" s="6" t="n">
        <f aca="false">B11*C11*D11</f>
        <v>0.072</v>
      </c>
      <c r="G11" s="5" t="s">
        <v>433</v>
      </c>
      <c r="H11" s="5" t="s">
        <v>439</v>
      </c>
      <c r="I11" s="5" t="s">
        <v>435</v>
      </c>
      <c r="J11" s="17" t="s">
        <v>436</v>
      </c>
      <c r="K11" s="5" t="s">
        <v>431</v>
      </c>
      <c r="L11" s="17" t="s">
        <v>92</v>
      </c>
      <c r="M11" s="18"/>
    </row>
    <row r="12" customFormat="false" ht="35.05" hidden="false" customHeight="false" outlineLevel="0" collapsed="false">
      <c r="A12" s="11" t="s">
        <v>440</v>
      </c>
      <c r="B12" s="20"/>
      <c r="C12" s="11" t="s">
        <v>426</v>
      </c>
      <c r="D12" s="11" t="s">
        <v>426</v>
      </c>
      <c r="E12" s="11" t="s">
        <v>426</v>
      </c>
      <c r="F12" s="13" t="n">
        <f aca="false">Referencias!$C$185/Referencias!$C$13</f>
        <v>0.3528</v>
      </c>
      <c r="G12" s="11" t="s">
        <v>441</v>
      </c>
      <c r="H12" s="11" t="s">
        <v>442</v>
      </c>
      <c r="I12" s="11" t="s">
        <v>443</v>
      </c>
      <c r="J12" s="14" t="s">
        <v>116</v>
      </c>
      <c r="K12" s="20"/>
      <c r="L12" s="20"/>
      <c r="M12" s="20"/>
    </row>
    <row r="14" customFormat="false" ht="15" hidden="false" customHeight="false" outlineLevel="0" collapsed="false">
      <c r="A14" s="4" t="s">
        <v>36</v>
      </c>
      <c r="B14" s="19" t="n">
        <f aca="false">Referencias!$C$186</f>
        <v>1</v>
      </c>
      <c r="C14" s="4"/>
      <c r="D14" s="4"/>
      <c r="E14" s="4"/>
      <c r="F14" s="9" t="n">
        <f aca="false">SUM(F15:F16)</f>
        <v>3.0036</v>
      </c>
      <c r="G14" s="4" t="str">
        <f aca="false">"máquinas · turnos: "&amp;Referencias!$C$222</f>
        <v>máquinas · turnos: 1</v>
      </c>
      <c r="H14" s="4" t="s">
        <v>444</v>
      </c>
      <c r="I14" s="4"/>
      <c r="J14" s="4"/>
      <c r="K14" s="4" t="s">
        <v>445</v>
      </c>
      <c r="L14" s="10" t="s">
        <v>92</v>
      </c>
      <c r="M14" s="4"/>
    </row>
    <row r="15" customFormat="false" ht="23.85" hidden="false" customHeight="false" outlineLevel="0" collapsed="false">
      <c r="A15" s="5" t="s">
        <v>446</v>
      </c>
      <c r="B15" s="16" t="n">
        <f aca="false">Referencias!$C$186</f>
        <v>1</v>
      </c>
      <c r="C15" s="6" t="n">
        <f aca="false">Referencias!$C$90/100</f>
        <v>1.14</v>
      </c>
      <c r="D15" s="6" t="n">
        <f aca="false">Referencias!$C$89/100</f>
        <v>2.3</v>
      </c>
      <c r="E15" s="6" t="n">
        <f aca="false">Referencias!$C$91/100</f>
        <v>1.8</v>
      </c>
      <c r="F15" s="6" t="n">
        <f aca="false">B15*C15*D15</f>
        <v>2.622</v>
      </c>
      <c r="G15" s="5" t="s">
        <v>447</v>
      </c>
      <c r="H15" s="5" t="s">
        <v>448</v>
      </c>
      <c r="I15" s="5" t="s">
        <v>449</v>
      </c>
      <c r="J15" s="17" t="s">
        <v>450</v>
      </c>
      <c r="K15" s="5" t="s">
        <v>445</v>
      </c>
      <c r="L15" s="17" t="s">
        <v>92</v>
      </c>
      <c r="M15" s="18"/>
    </row>
    <row r="16" customFormat="false" ht="23.85" hidden="false" customHeight="false" outlineLevel="0" collapsed="false">
      <c r="A16" s="11" t="s">
        <v>451</v>
      </c>
      <c r="B16" s="12" t="n">
        <f aca="false">Referencias!$C$186</f>
        <v>1</v>
      </c>
      <c r="C16" s="13" t="n">
        <f aca="false">Referencias!$C$93/100</f>
        <v>0.53</v>
      </c>
      <c r="D16" s="13" t="n">
        <f aca="false">Referencias!$C$92/100</f>
        <v>0.72</v>
      </c>
      <c r="E16" s="13" t="n">
        <f aca="false">Referencias!$C$94/100</f>
        <v>0.87</v>
      </c>
      <c r="F16" s="13" t="n">
        <f aca="false">B16*C16*D16</f>
        <v>0.3816</v>
      </c>
      <c r="G16" s="11" t="s">
        <v>452</v>
      </c>
      <c r="H16" s="11" t="s">
        <v>453</v>
      </c>
      <c r="I16" s="11" t="s">
        <v>454</v>
      </c>
      <c r="J16" s="14" t="s">
        <v>450</v>
      </c>
      <c r="K16" s="11" t="s">
        <v>445</v>
      </c>
      <c r="L16" s="14" t="s">
        <v>92</v>
      </c>
      <c r="M16" s="15" t="s">
        <v>455</v>
      </c>
    </row>
    <row r="18" customFormat="false" ht="15" hidden="false" customHeight="false" outlineLevel="0" collapsed="false">
      <c r="A18" s="4" t="s">
        <v>37</v>
      </c>
      <c r="B18" s="19" t="n">
        <f aca="false">Referencias!$C$187</f>
        <v>1</v>
      </c>
      <c r="C18" s="4"/>
      <c r="D18" s="4"/>
      <c r="E18" s="4"/>
      <c r="F18" s="9" t="n">
        <f aca="false">SUM(F19:F20)</f>
        <v>0.4716471095</v>
      </c>
      <c r="G18" s="4" t="str">
        <f aca="false">"máquinas · turnos: "&amp;Referencias!$C$223</f>
        <v>máquinas · turnos: 1</v>
      </c>
      <c r="H18" s="4" t="s">
        <v>456</v>
      </c>
      <c r="I18" s="4"/>
      <c r="J18" s="4"/>
      <c r="K18" s="4" t="s">
        <v>457</v>
      </c>
      <c r="L18" s="10" t="s">
        <v>92</v>
      </c>
      <c r="M18" s="4"/>
    </row>
    <row r="19" customFormat="false" ht="15" hidden="false" customHeight="false" outlineLevel="0" collapsed="false">
      <c r="A19" s="5" t="s">
        <v>458</v>
      </c>
      <c r="B19" s="16" t="n">
        <f aca="false">Referencias!$C$187</f>
        <v>1</v>
      </c>
      <c r="C19" s="18" t="s">
        <v>119</v>
      </c>
      <c r="D19" s="18" t="s">
        <v>119</v>
      </c>
      <c r="E19" s="18" t="s">
        <v>119</v>
      </c>
      <c r="G19" s="5"/>
      <c r="H19" s="5" t="s">
        <v>459</v>
      </c>
      <c r="K19" s="5" t="s">
        <v>457</v>
      </c>
      <c r="L19" s="17" t="s">
        <v>92</v>
      </c>
      <c r="M19" s="18" t="s">
        <v>207</v>
      </c>
    </row>
    <row r="20" customFormat="false" ht="35.05" hidden="false" customHeight="false" outlineLevel="0" collapsed="false">
      <c r="A20" s="11" t="s">
        <v>460</v>
      </c>
      <c r="B20" s="20"/>
      <c r="C20" s="11" t="s">
        <v>426</v>
      </c>
      <c r="D20" s="11" t="s">
        <v>426</v>
      </c>
      <c r="E20" s="11" t="s">
        <v>426</v>
      </c>
      <c r="F20" s="13" t="n">
        <f aca="false">Referencias!$C$188/Referencias!$C$13</f>
        <v>0.4716471095</v>
      </c>
      <c r="G20" s="11" t="s">
        <v>461</v>
      </c>
      <c r="H20" s="11" t="s">
        <v>462</v>
      </c>
      <c r="I20" s="11" t="s">
        <v>463</v>
      </c>
      <c r="J20" s="14" t="s">
        <v>116</v>
      </c>
      <c r="K20" s="20"/>
      <c r="L20" s="20"/>
      <c r="M20" s="20"/>
    </row>
    <row r="22" customFormat="false" ht="15" hidden="false" customHeight="false" outlineLevel="0" collapsed="false">
      <c r="A22" s="4" t="s">
        <v>38</v>
      </c>
      <c r="B22" s="19" t="n">
        <f aca="false">Referencias!$C$189</f>
        <v>1</v>
      </c>
      <c r="C22" s="4"/>
      <c r="D22" s="4"/>
      <c r="E22" s="4"/>
      <c r="F22" s="9" t="n">
        <f aca="false">SUM(F23:F25)</f>
        <v>2.4176</v>
      </c>
      <c r="G22" s="4" t="str">
        <f aca="false">"máquinas · turnos: "&amp;Referencias!$C$224</f>
        <v>máquinas · turnos: 1</v>
      </c>
      <c r="H22" s="4" t="s">
        <v>464</v>
      </c>
      <c r="I22" s="4"/>
      <c r="J22" s="4"/>
      <c r="K22" s="4" t="s">
        <v>465</v>
      </c>
      <c r="L22" s="10" t="s">
        <v>92</v>
      </c>
      <c r="M22" s="4"/>
    </row>
    <row r="23" customFormat="false" ht="23.85" hidden="false" customHeight="false" outlineLevel="0" collapsed="false">
      <c r="A23" s="5" t="s">
        <v>432</v>
      </c>
      <c r="B23" s="16" t="n">
        <f aca="false">Referencias!$C$189</f>
        <v>1</v>
      </c>
      <c r="C23" s="6" t="n">
        <f aca="false">Referencias!$C$84/1000</f>
        <v>0.32</v>
      </c>
      <c r="D23" s="6" t="n">
        <f aca="false">Referencias!$C$83/1000</f>
        <v>0.47</v>
      </c>
      <c r="E23" s="6" t="n">
        <f aca="false">Referencias!$C$85/1000</f>
        <v>0.334</v>
      </c>
      <c r="F23" s="6" t="n">
        <f aca="false">B23*C23*D23</f>
        <v>0.1504</v>
      </c>
      <c r="G23" s="5" t="s">
        <v>433</v>
      </c>
      <c r="H23" s="5" t="s">
        <v>466</v>
      </c>
      <c r="I23" s="5" t="s">
        <v>435</v>
      </c>
      <c r="J23" s="17" t="s">
        <v>436</v>
      </c>
      <c r="K23" s="5" t="s">
        <v>465</v>
      </c>
      <c r="L23" s="17" t="s">
        <v>92</v>
      </c>
      <c r="M23" s="18" t="s">
        <v>437</v>
      </c>
    </row>
    <row r="24" customFormat="false" ht="23.85" hidden="false" customHeight="false" outlineLevel="0" collapsed="false">
      <c r="A24" s="5" t="s">
        <v>438</v>
      </c>
      <c r="B24" s="16" t="n">
        <f aca="false">Referencias!$C$189</f>
        <v>1</v>
      </c>
      <c r="C24" s="6" t="n">
        <f aca="false">Referencias!$C$87/1000</f>
        <v>0.16</v>
      </c>
      <c r="D24" s="6" t="n">
        <f aca="false">Referencias!$C$86/1000</f>
        <v>0.45</v>
      </c>
      <c r="E24" s="6" t="n">
        <f aca="false">Referencias!$C$88/1000</f>
        <v>0.334</v>
      </c>
      <c r="F24" s="6" t="n">
        <f aca="false">B24*C24*D24</f>
        <v>0.072</v>
      </c>
      <c r="G24" s="5" t="s">
        <v>433</v>
      </c>
      <c r="H24" s="5" t="s">
        <v>467</v>
      </c>
      <c r="I24" s="5" t="s">
        <v>435</v>
      </c>
      <c r="J24" s="17" t="s">
        <v>436</v>
      </c>
      <c r="K24" s="5" t="s">
        <v>465</v>
      </c>
      <c r="L24" s="17" t="s">
        <v>92</v>
      </c>
      <c r="M24" s="18"/>
    </row>
    <row r="25" customFormat="false" ht="35.05" hidden="false" customHeight="false" outlineLevel="0" collapsed="false">
      <c r="A25" s="11" t="s">
        <v>468</v>
      </c>
      <c r="B25" s="20"/>
      <c r="C25" s="11" t="s">
        <v>426</v>
      </c>
      <c r="D25" s="11" t="s">
        <v>426</v>
      </c>
      <c r="E25" s="11" t="s">
        <v>426</v>
      </c>
      <c r="F25" s="13" t="n">
        <f aca="false">Referencias!$C$190/Referencias!$C$13</f>
        <v>2.1952</v>
      </c>
      <c r="G25" s="11" t="s">
        <v>469</v>
      </c>
      <c r="H25" s="11" t="s">
        <v>470</v>
      </c>
      <c r="I25" s="11" t="s">
        <v>471</v>
      </c>
      <c r="J25" s="14" t="s">
        <v>116</v>
      </c>
      <c r="K25" s="20"/>
      <c r="L25" s="20"/>
      <c r="M25" s="20"/>
    </row>
    <row r="27" customFormat="false" ht="15" hidden="false" customHeight="false" outlineLevel="0" collapsed="false">
      <c r="A27" s="4" t="s">
        <v>39</v>
      </c>
      <c r="B27" s="19" t="n">
        <f aca="false">Referencias!$C$191</f>
        <v>1</v>
      </c>
      <c r="C27" s="4"/>
      <c r="D27" s="4"/>
      <c r="E27" s="4"/>
      <c r="F27" s="9" t="n">
        <f aca="false">SUM(F28:F30)</f>
        <v>0.3988</v>
      </c>
      <c r="G27" s="4" t="str">
        <f aca="false">"máquinas · turnos: "&amp;Referencias!$C$225</f>
        <v>máquinas · turnos: 1</v>
      </c>
      <c r="H27" s="4" t="s">
        <v>472</v>
      </c>
      <c r="I27" s="4"/>
      <c r="J27" s="4"/>
      <c r="K27" s="4" t="s">
        <v>473</v>
      </c>
      <c r="L27" s="10" t="s">
        <v>92</v>
      </c>
      <c r="M27" s="4"/>
    </row>
    <row r="28" customFormat="false" ht="23.85" hidden="false" customHeight="false" outlineLevel="0" collapsed="false">
      <c r="A28" s="5" t="s">
        <v>432</v>
      </c>
      <c r="B28" s="16" t="n">
        <f aca="false">Referencias!$C$191</f>
        <v>1</v>
      </c>
      <c r="C28" s="6" t="n">
        <f aca="false">Referencias!$C$84/1000</f>
        <v>0.32</v>
      </c>
      <c r="D28" s="6" t="n">
        <f aca="false">Referencias!$C$83/1000</f>
        <v>0.47</v>
      </c>
      <c r="E28" s="6" t="n">
        <f aca="false">Referencias!$C$85/1000</f>
        <v>0.334</v>
      </c>
      <c r="F28" s="6" t="n">
        <f aca="false">B28*C28*D28</f>
        <v>0.1504</v>
      </c>
      <c r="G28" s="5" t="s">
        <v>433</v>
      </c>
      <c r="H28" s="5" t="s">
        <v>474</v>
      </c>
      <c r="I28" s="5" t="s">
        <v>435</v>
      </c>
      <c r="J28" s="17" t="s">
        <v>436</v>
      </c>
      <c r="K28" s="5" t="s">
        <v>473</v>
      </c>
      <c r="L28" s="17" t="s">
        <v>92</v>
      </c>
      <c r="M28" s="18" t="s">
        <v>437</v>
      </c>
    </row>
    <row r="29" customFormat="false" ht="23.85" hidden="false" customHeight="false" outlineLevel="0" collapsed="false">
      <c r="A29" s="5" t="s">
        <v>438</v>
      </c>
      <c r="B29" s="16" t="n">
        <f aca="false">Referencias!$C$191</f>
        <v>1</v>
      </c>
      <c r="C29" s="6" t="n">
        <f aca="false">Referencias!$C$87/1000</f>
        <v>0.16</v>
      </c>
      <c r="D29" s="6" t="n">
        <f aca="false">Referencias!$C$86/1000</f>
        <v>0.45</v>
      </c>
      <c r="E29" s="6" t="n">
        <f aca="false">Referencias!$C$88/1000</f>
        <v>0.334</v>
      </c>
      <c r="F29" s="6" t="n">
        <f aca="false">B29*C29*D29</f>
        <v>0.072</v>
      </c>
      <c r="G29" s="5" t="s">
        <v>433</v>
      </c>
      <c r="H29" s="5" t="s">
        <v>475</v>
      </c>
      <c r="I29" s="5" t="s">
        <v>435</v>
      </c>
      <c r="J29" s="17" t="s">
        <v>436</v>
      </c>
      <c r="K29" s="5" t="s">
        <v>473</v>
      </c>
      <c r="L29" s="17" t="s">
        <v>92</v>
      </c>
      <c r="M29" s="18"/>
    </row>
    <row r="30" customFormat="false" ht="35.05" hidden="false" customHeight="false" outlineLevel="0" collapsed="false">
      <c r="A30" s="11" t="s">
        <v>476</v>
      </c>
      <c r="B30" s="20"/>
      <c r="C30" s="11" t="s">
        <v>426</v>
      </c>
      <c r="D30" s="11" t="s">
        <v>426</v>
      </c>
      <c r="E30" s="11" t="s">
        <v>426</v>
      </c>
      <c r="F30" s="13" t="n">
        <f aca="false">Referencias!$C$192/Referencias!$C$13</f>
        <v>0.1764</v>
      </c>
      <c r="G30" s="11" t="s">
        <v>477</v>
      </c>
      <c r="H30" s="11" t="s">
        <v>478</v>
      </c>
      <c r="I30" s="11" t="s">
        <v>479</v>
      </c>
      <c r="J30" s="14" t="s">
        <v>116</v>
      </c>
      <c r="K30" s="20"/>
      <c r="L30" s="20"/>
      <c r="M30" s="20"/>
    </row>
    <row r="32" customFormat="false" ht="15" hidden="false" customHeight="false" outlineLevel="0" collapsed="false">
      <c r="A32" s="4" t="s">
        <v>40</v>
      </c>
      <c r="B32" s="19" t="n">
        <f aca="false">Referencias!$C$193</f>
        <v>1</v>
      </c>
      <c r="C32" s="4"/>
      <c r="D32" s="4"/>
      <c r="E32" s="4"/>
      <c r="F32" s="9" t="n">
        <f aca="false">SUM(F33:F33)</f>
        <v>0</v>
      </c>
      <c r="G32" s="4" t="str">
        <f aca="false">"máquinas · turnos: "&amp;Referencias!$C$226</f>
        <v>máquinas · turnos: 1</v>
      </c>
      <c r="H32" s="4" t="s">
        <v>480</v>
      </c>
      <c r="I32" s="4"/>
      <c r="J32" s="4"/>
      <c r="K32" s="4" t="s">
        <v>481</v>
      </c>
      <c r="L32" s="10" t="s">
        <v>92</v>
      </c>
      <c r="M32" s="4"/>
    </row>
    <row r="33" customFormat="false" ht="15" hidden="false" customHeight="false" outlineLevel="0" collapsed="false">
      <c r="A33" s="11" t="s">
        <v>482</v>
      </c>
      <c r="B33" s="12" t="n">
        <f aca="false">Referencias!$C$193</f>
        <v>1</v>
      </c>
      <c r="C33" s="15" t="s">
        <v>119</v>
      </c>
      <c r="D33" s="15" t="s">
        <v>119</v>
      </c>
      <c r="E33" s="15" t="s">
        <v>119</v>
      </c>
      <c r="F33" s="20"/>
      <c r="G33" s="11"/>
      <c r="H33" s="11" t="s">
        <v>483</v>
      </c>
      <c r="I33" s="20"/>
      <c r="J33" s="20"/>
      <c r="K33" s="11" t="s">
        <v>481</v>
      </c>
      <c r="L33" s="14" t="s">
        <v>92</v>
      </c>
      <c r="M33" s="15" t="s">
        <v>207</v>
      </c>
    </row>
    <row r="35" customFormat="false" ht="15" hidden="false" customHeight="false" outlineLevel="0" collapsed="false">
      <c r="A35" s="4" t="s">
        <v>41</v>
      </c>
      <c r="B35" s="19" t="n">
        <f aca="false">Referencias!$C$227</f>
        <v>1</v>
      </c>
      <c r="C35" s="4"/>
      <c r="D35" s="4"/>
      <c r="E35" s="4"/>
      <c r="F35" s="9" t="n">
        <f aca="false">SUM(F36:F36)</f>
        <v>12.65</v>
      </c>
      <c r="G35" s="4" t="str">
        <f aca="false">"máquinas · turnos: "&amp;Referencias!$C$228</f>
        <v>máquinas · turnos: 1</v>
      </c>
      <c r="H35" s="4" t="s">
        <v>484</v>
      </c>
      <c r="I35" s="4"/>
      <c r="J35" s="4"/>
      <c r="K35" s="4" t="s">
        <v>485</v>
      </c>
      <c r="L35" s="10" t="s">
        <v>92</v>
      </c>
      <c r="M35" s="4"/>
    </row>
    <row r="36" customFormat="false" ht="46.25" hidden="false" customHeight="false" outlineLevel="0" collapsed="false">
      <c r="A36" s="11" t="s">
        <v>486</v>
      </c>
      <c r="B36" s="20"/>
      <c r="C36" s="11" t="s">
        <v>426</v>
      </c>
      <c r="D36" s="11" t="s">
        <v>426</v>
      </c>
      <c r="E36" s="11" t="s">
        <v>426</v>
      </c>
      <c r="F36" s="13" t="n">
        <f aca="false">Referencias!$C$194/Referencias!$C$13</f>
        <v>12.65</v>
      </c>
      <c r="G36" s="11" t="s">
        <v>487</v>
      </c>
      <c r="H36" s="11" t="s">
        <v>488</v>
      </c>
      <c r="I36" s="11" t="s">
        <v>489</v>
      </c>
      <c r="J36" s="14" t="s">
        <v>116</v>
      </c>
      <c r="K36" s="20"/>
      <c r="L36" s="20"/>
      <c r="M36" s="20"/>
    </row>
    <row r="38" customFormat="false" ht="15" hidden="false" customHeight="false" outlineLevel="0" collapsed="false">
      <c r="A38" s="4" t="s">
        <v>42</v>
      </c>
      <c r="B38" s="19" t="n">
        <f aca="false">Referencias!$C$229</f>
        <v>1</v>
      </c>
      <c r="C38" s="4"/>
      <c r="D38" s="4"/>
      <c r="E38" s="4"/>
      <c r="F38" s="9" t="n">
        <f aca="false">SUM(F39:F39)</f>
        <v>12.65</v>
      </c>
      <c r="G38" s="4" t="str">
        <f aca="false">"máquinas · turnos: "&amp;Referencias!$C$230</f>
        <v>máquinas · turnos: 1</v>
      </c>
      <c r="H38" s="4" t="s">
        <v>490</v>
      </c>
      <c r="I38" s="4"/>
      <c r="J38" s="4"/>
      <c r="K38" s="4" t="s">
        <v>491</v>
      </c>
      <c r="L38" s="10" t="s">
        <v>92</v>
      </c>
      <c r="M38" s="4"/>
    </row>
    <row r="39" customFormat="false" ht="46.25" hidden="false" customHeight="false" outlineLevel="0" collapsed="false">
      <c r="A39" s="11" t="s">
        <v>492</v>
      </c>
      <c r="B39" s="20"/>
      <c r="C39" s="11" t="s">
        <v>426</v>
      </c>
      <c r="D39" s="11" t="s">
        <v>426</v>
      </c>
      <c r="E39" s="11" t="s">
        <v>426</v>
      </c>
      <c r="F39" s="13" t="n">
        <f aca="false">Referencias!$C$195/Referencias!$C$13</f>
        <v>12.65</v>
      </c>
      <c r="G39" s="11" t="s">
        <v>493</v>
      </c>
      <c r="H39" s="11" t="s">
        <v>494</v>
      </c>
      <c r="I39" s="11" t="s">
        <v>495</v>
      </c>
      <c r="J39" s="14" t="s">
        <v>116</v>
      </c>
      <c r="K39" s="20"/>
      <c r="L39" s="20"/>
      <c r="M39" s="20"/>
    </row>
    <row r="41" customFormat="false" ht="15" hidden="false" customHeight="false" outlineLevel="0" collapsed="false">
      <c r="A41" s="4" t="s">
        <v>43</v>
      </c>
      <c r="B41" s="19" t="n">
        <f aca="false">Referencias!$C$196</f>
        <v>1</v>
      </c>
      <c r="C41" s="4"/>
      <c r="D41" s="4"/>
      <c r="E41" s="4"/>
      <c r="F41" s="9" t="n">
        <f aca="false">SUM(F42:F42)</f>
        <v>0.3162</v>
      </c>
      <c r="G41" s="4" t="str">
        <f aca="false">"máquinas · turnos: "&amp;Referencias!$C$231</f>
        <v>máquinas · turnos: 1</v>
      </c>
      <c r="H41" s="4" t="s">
        <v>496</v>
      </c>
      <c r="I41" s="4"/>
      <c r="J41" s="4"/>
      <c r="K41" s="4" t="s">
        <v>497</v>
      </c>
      <c r="L41" s="10" t="s">
        <v>92</v>
      </c>
      <c r="M41" s="4"/>
    </row>
    <row r="42" customFormat="false" ht="23.85" hidden="false" customHeight="false" outlineLevel="0" collapsed="false">
      <c r="A42" s="11" t="s">
        <v>340</v>
      </c>
      <c r="B42" s="12" t="n">
        <f aca="false">Referencias!$C$196</f>
        <v>1</v>
      </c>
      <c r="C42" s="13" t="n">
        <f aca="false">Referencias!$C$59/1000</f>
        <v>0.51</v>
      </c>
      <c r="D42" s="13" t="n">
        <f aca="false">Referencias!$C$58/1000</f>
        <v>0.62</v>
      </c>
      <c r="E42" s="13" t="n">
        <f aca="false">Referencias!$C$60/1000</f>
        <v>1.2</v>
      </c>
      <c r="F42" s="13" t="n">
        <f aca="false">B42*C42*D42</f>
        <v>0.3162</v>
      </c>
      <c r="G42" s="11"/>
      <c r="H42" s="11" t="s">
        <v>498</v>
      </c>
      <c r="I42" s="11" t="s">
        <v>342</v>
      </c>
      <c r="J42" s="14" t="s">
        <v>343</v>
      </c>
      <c r="K42" s="11" t="s">
        <v>497</v>
      </c>
      <c r="L42" s="14" t="s">
        <v>92</v>
      </c>
      <c r="M42" s="15"/>
    </row>
    <row r="44" customFormat="false" ht="15" hidden="false" customHeight="false" outlineLevel="0" collapsed="false">
      <c r="A44" s="4" t="s">
        <v>44</v>
      </c>
      <c r="B44" s="19" t="n">
        <f aca="false">Referencias!$C$197</f>
        <v>1</v>
      </c>
      <c r="C44" s="4"/>
      <c r="D44" s="4"/>
      <c r="E44" s="4"/>
      <c r="F44" s="9" t="n">
        <f aca="false">SUM(F45:F45)</f>
        <v>0</v>
      </c>
      <c r="G44" s="4" t="str">
        <f aca="false">"máquinas · turnos: "&amp;Referencias!$C$232</f>
        <v>máquinas · turnos: 1</v>
      </c>
      <c r="H44" s="4" t="s">
        <v>499</v>
      </c>
      <c r="I44" s="4"/>
      <c r="J44" s="4"/>
      <c r="K44" s="4" t="s">
        <v>500</v>
      </c>
      <c r="L44" s="10" t="s">
        <v>92</v>
      </c>
      <c r="M44" s="4"/>
    </row>
    <row r="45" customFormat="false" ht="15" hidden="false" customHeight="false" outlineLevel="0" collapsed="false">
      <c r="A45" s="11" t="s">
        <v>501</v>
      </c>
      <c r="B45" s="12" t="n">
        <f aca="false">Referencias!$C$197</f>
        <v>1</v>
      </c>
      <c r="C45" s="15" t="s">
        <v>119</v>
      </c>
      <c r="D45" s="15" t="s">
        <v>119</v>
      </c>
      <c r="E45" s="15" t="s">
        <v>119</v>
      </c>
      <c r="F45" s="20"/>
      <c r="G45" s="11"/>
      <c r="H45" s="11" t="s">
        <v>502</v>
      </c>
      <c r="I45" s="20"/>
      <c r="J45" s="20"/>
      <c r="K45" s="11" t="s">
        <v>500</v>
      </c>
      <c r="L45" s="14" t="s">
        <v>92</v>
      </c>
      <c r="M45" s="15" t="s">
        <v>207</v>
      </c>
    </row>
    <row r="47" customFormat="false" ht="23.85" hidden="false" customHeight="false" outlineLevel="0" collapsed="false">
      <c r="A47" s="4" t="s">
        <v>45</v>
      </c>
      <c r="B47" s="19" t="n">
        <f aca="false">Referencias!$C$198</f>
        <v>1</v>
      </c>
      <c r="C47" s="4"/>
      <c r="D47" s="4"/>
      <c r="E47" s="4"/>
      <c r="F47" s="9" t="n">
        <f aca="false">SUM(F48:F48)</f>
        <v>0</v>
      </c>
      <c r="G47" s="4" t="str">
        <f aca="false">"máquinas · turnos: "&amp;Referencias!$C$233</f>
        <v>máquinas · turnos: 1</v>
      </c>
      <c r="H47" s="4" t="s">
        <v>503</v>
      </c>
      <c r="I47" s="4"/>
      <c r="J47" s="4"/>
      <c r="K47" s="4" t="s">
        <v>504</v>
      </c>
      <c r="L47" s="10" t="s">
        <v>92</v>
      </c>
      <c r="M47" s="4"/>
    </row>
    <row r="48" customFormat="false" ht="15" hidden="false" customHeight="false" outlineLevel="0" collapsed="false">
      <c r="A48" s="11" t="s">
        <v>505</v>
      </c>
      <c r="B48" s="12" t="n">
        <f aca="false">Referencias!$C$198</f>
        <v>1</v>
      </c>
      <c r="C48" s="15" t="s">
        <v>119</v>
      </c>
      <c r="D48" s="15" t="s">
        <v>119</v>
      </c>
      <c r="E48" s="15" t="s">
        <v>119</v>
      </c>
      <c r="F48" s="20"/>
      <c r="G48" s="11"/>
      <c r="H48" s="11" t="s">
        <v>506</v>
      </c>
      <c r="I48" s="20"/>
      <c r="J48" s="20"/>
      <c r="K48" s="11" t="s">
        <v>504</v>
      </c>
      <c r="L48" s="14" t="s">
        <v>92</v>
      </c>
      <c r="M48" s="15" t="s">
        <v>207</v>
      </c>
    </row>
  </sheetData>
  <hyperlinks>
    <hyperlink ref="L5" r:id="rId1" display="https://drive.google.com/file/d/1SwGuppOSsaAXO29onhyWUH40O1h_4XmG/view"/>
    <hyperlink ref="J6" r:id="rId2" display="https://www.goldsupplier.com/provide/p106252607.html"/>
    <hyperlink ref="L6" r:id="rId3" display="https://drive.google.com/file/d/1SwGuppOSsaAXO29onhyWUH40O1h_4XmG/view"/>
    <hyperlink ref="J7" r:id="rId4" display="https://drive.google.com/file/d/1CxHINAnd0jSBd5QuU5_82_sKCJAVXu9r/view"/>
    <hyperlink ref="L9" r:id="rId5" display="https://drive.google.com/file/d/1SwGuppOSsaAXO29onhyWUH40O1h_4XmG/view"/>
    <hyperlink ref="J10" r:id="rId6" display="https://westermans.com/proarc-tr-0100-welding-rotators-1-ton-single-phase.aspx"/>
    <hyperlink ref="L10" r:id="rId7" display="https://drive.google.com/file/d/1SwGuppOSsaAXO29onhyWUH40O1h_4XmG/view"/>
    <hyperlink ref="J11" r:id="rId8" display="https://westermans.com/proarc-tr-0100-welding-rotators-1-ton-single-phase.aspx"/>
    <hyperlink ref="L11" r:id="rId9" display="https://drive.google.com/file/d/1SwGuppOSsaAXO29onhyWUH40O1h_4XmG/view"/>
    <hyperlink ref="J12" r:id="rId10" display="https://drive.google.com/file/d/1CxHINAnd0jSBd5QuU5_82_sKCJAVXu9r/view"/>
    <hyperlink ref="L14" r:id="rId11" display="https://drive.google.com/file/d/1SwGuppOSsaAXO29onhyWUH40O1h_4XmG/view"/>
    <hyperlink ref="J15" r:id="rId12" display="https://drive.google.com/file/d/1l8M5M-2Xjh6rpiypYBHoqaVkF-1-1pfM/view"/>
    <hyperlink ref="L15" r:id="rId13" display="https://drive.google.com/file/d/1SwGuppOSsaAXO29onhyWUH40O1h_4XmG/view"/>
    <hyperlink ref="J16" r:id="rId14" display="https://drive.google.com/file/d/1l8M5M-2Xjh6rpiypYBHoqaVkF-1-1pfM/view"/>
    <hyperlink ref="L16" r:id="rId15" display="https://drive.google.com/file/d/1SwGuppOSsaAXO29onhyWUH40O1h_4XmG/view"/>
    <hyperlink ref="L18" r:id="rId16" display="https://drive.google.com/file/d/1SwGuppOSsaAXO29onhyWUH40O1h_4XmG/view"/>
    <hyperlink ref="L19" r:id="rId17" display="https://drive.google.com/file/d/1SwGuppOSsaAXO29onhyWUH40O1h_4XmG/view"/>
    <hyperlink ref="J20" r:id="rId18" display="https://drive.google.com/file/d/1CxHINAnd0jSBd5QuU5_82_sKCJAVXu9r/view"/>
    <hyperlink ref="L22" r:id="rId19" display="https://drive.google.com/file/d/1SwGuppOSsaAXO29onhyWUH40O1h_4XmG/view"/>
    <hyperlink ref="J23" r:id="rId20" display="https://westermans.com/proarc-tr-0100-welding-rotators-1-ton-single-phase.aspx"/>
    <hyperlink ref="L23" r:id="rId21" display="https://drive.google.com/file/d/1SwGuppOSsaAXO29onhyWUH40O1h_4XmG/view"/>
    <hyperlink ref="J24" r:id="rId22" display="https://westermans.com/proarc-tr-0100-welding-rotators-1-ton-single-phase.aspx"/>
    <hyperlink ref="L24" r:id="rId23" display="https://drive.google.com/file/d/1SwGuppOSsaAXO29onhyWUH40O1h_4XmG/view"/>
    <hyperlink ref="J25" r:id="rId24" display="https://drive.google.com/file/d/1CxHINAnd0jSBd5QuU5_82_sKCJAVXu9r/view"/>
    <hyperlink ref="L27" r:id="rId25" display="https://drive.google.com/file/d/1SwGuppOSsaAXO29onhyWUH40O1h_4XmG/view"/>
    <hyperlink ref="J28" r:id="rId26" display="https://westermans.com/proarc-tr-0100-welding-rotators-1-ton-single-phase.aspx"/>
    <hyperlink ref="L28" r:id="rId27" display="https://drive.google.com/file/d/1SwGuppOSsaAXO29onhyWUH40O1h_4XmG/view"/>
    <hyperlink ref="J29" r:id="rId28" display="https://westermans.com/proarc-tr-0100-welding-rotators-1-ton-single-phase.aspx"/>
    <hyperlink ref="L29" r:id="rId29" display="https://drive.google.com/file/d/1SwGuppOSsaAXO29onhyWUH40O1h_4XmG/view"/>
    <hyperlink ref="J30" r:id="rId30" display="https://drive.google.com/file/d/1CxHINAnd0jSBd5QuU5_82_sKCJAVXu9r/view"/>
    <hyperlink ref="L32" r:id="rId31" display="https://drive.google.com/file/d/1SwGuppOSsaAXO29onhyWUH40O1h_4XmG/view"/>
    <hyperlink ref="L33" r:id="rId32" display="https://drive.google.com/file/d/1SwGuppOSsaAXO29onhyWUH40O1h_4XmG/view"/>
    <hyperlink ref="L35" r:id="rId33" display="https://drive.google.com/file/d/1SwGuppOSsaAXO29onhyWUH40O1h_4XmG/view"/>
    <hyperlink ref="J36" r:id="rId34" display="https://drive.google.com/file/d/1CxHINAnd0jSBd5QuU5_82_sKCJAVXu9r/view"/>
    <hyperlink ref="L38" r:id="rId35" display="https://drive.google.com/file/d/1SwGuppOSsaAXO29onhyWUH40O1h_4XmG/view"/>
    <hyperlink ref="J39" r:id="rId36" display="https://drive.google.com/file/d/1CxHINAnd0jSBd5QuU5_82_sKCJAVXu9r/view"/>
    <hyperlink ref="L41" r:id="rId37" display="https://drive.google.com/file/d/1SwGuppOSsaAXO29onhyWUH40O1h_4XmG/view"/>
    <hyperlink ref="J42" r:id="rId38" display="https://drive.google.com/file/d/1EgGHDA3POFrFvroBTnP4I855u6ADRbJu/view"/>
    <hyperlink ref="L42" r:id="rId39" display="https://drive.google.com/file/d/1SwGuppOSsaAXO29onhyWUH40O1h_4XmG/view"/>
    <hyperlink ref="L44" r:id="rId40" display="https://drive.google.com/file/d/1SwGuppOSsaAXO29onhyWUH40O1h_4XmG/view"/>
    <hyperlink ref="L45" r:id="rId41" display="https://drive.google.com/file/d/1SwGuppOSsaAXO29onhyWUH40O1h_4XmG/view"/>
    <hyperlink ref="L47" r:id="rId42" display="https://drive.google.com/file/d/1SwGuppOSsaAXO29onhyWUH40O1h_4XmG/view"/>
    <hyperlink ref="L48" r:id="rId43" display="https://drive.google.com/file/d/1SwGuppOSsaAXO29onhyWUH40O1h_4XmG/vie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7"/>
    <col collapsed="false" customWidth="true" hidden="false" outlineLevel="0" max="5" min="3" style="0" width="9"/>
    <col collapsed="false" customWidth="true" hidden="false" outlineLevel="0" max="6" min="6" style="0" width="10"/>
    <col collapsed="false" customWidth="true" hidden="false" outlineLevel="0" max="7" min="7" style="0" width="30"/>
    <col collapsed="false" customWidth="true" hidden="false" outlineLevel="0" max="8" min="8" style="0" width="16"/>
    <col collapsed="false" customWidth="true" hidden="false" outlineLevel="0" max="9" min="9" style="0" width="46"/>
    <col collapsed="false" customWidth="true" hidden="false" outlineLevel="0" max="12" min="10" style="0" width="40"/>
    <col collapsed="false" customWidth="true" hidden="false" outlineLevel="0" max="13" min="13" style="0" width="50"/>
  </cols>
  <sheetData>
    <row r="1" customFormat="false" ht="16.15" hidden="false" customHeight="false" outlineLevel="0" collapsed="false">
      <c r="A1" s="1" t="s">
        <v>507</v>
      </c>
    </row>
    <row r="2" customFormat="false" ht="15" hidden="false" customHeight="false" outlineLevel="0" collapsed="false">
      <c r="A2" s="2" t="s">
        <v>75</v>
      </c>
    </row>
    <row r="4" customFormat="false" ht="15" hidden="false" customHeight="false" outlineLevel="0" collapsed="false">
      <c r="A4" s="3" t="s">
        <v>76</v>
      </c>
      <c r="B4" s="3" t="s">
        <v>78</v>
      </c>
      <c r="C4" s="3" t="s">
        <v>79</v>
      </c>
      <c r="D4" s="3" t="s">
        <v>80</v>
      </c>
      <c r="E4" s="3" t="s">
        <v>81</v>
      </c>
      <c r="F4" s="3" t="s">
        <v>82</v>
      </c>
      <c r="G4" s="3" t="s">
        <v>83</v>
      </c>
      <c r="H4" s="3" t="s">
        <v>84</v>
      </c>
      <c r="I4" s="3" t="s">
        <v>85</v>
      </c>
      <c r="J4" s="3" t="s">
        <v>86</v>
      </c>
      <c r="K4" s="3" t="s">
        <v>87</v>
      </c>
      <c r="L4" s="3" t="s">
        <v>88</v>
      </c>
      <c r="M4" s="3" t="s">
        <v>89</v>
      </c>
    </row>
    <row r="5" customFormat="false" ht="15" hidden="false" customHeight="false" outlineLevel="0" collapsed="false">
      <c r="A5" s="4" t="s">
        <v>48</v>
      </c>
      <c r="B5" s="19" t="n">
        <f aca="false">Referencias!$C$245</f>
        <v>2</v>
      </c>
      <c r="C5" s="4"/>
      <c r="D5" s="4"/>
      <c r="E5" s="4"/>
      <c r="F5" s="9" t="n">
        <f aca="false">SUM(F6:F7)</f>
        <v>2.4</v>
      </c>
      <c r="G5" s="4" t="str">
        <f aca="false">"máquinas · turnos: "&amp;Referencias!$C$246</f>
        <v>máquinas · turnos: 1</v>
      </c>
      <c r="H5" s="4" t="s">
        <v>508</v>
      </c>
      <c r="I5" s="4"/>
      <c r="J5" s="4"/>
      <c r="K5" s="4" t="s">
        <v>509</v>
      </c>
      <c r="L5" s="10" t="s">
        <v>92</v>
      </c>
      <c r="M5" s="4"/>
    </row>
    <row r="6" customFormat="false" ht="15" hidden="false" customHeight="false" outlineLevel="0" collapsed="false">
      <c r="A6" s="5" t="s">
        <v>510</v>
      </c>
      <c r="B6" s="16" t="n">
        <f aca="false">Referencias!$C$245</f>
        <v>2</v>
      </c>
      <c r="C6" s="18" t="s">
        <v>119</v>
      </c>
      <c r="D6" s="18" t="s">
        <v>119</v>
      </c>
      <c r="E6" s="18" t="s">
        <v>119</v>
      </c>
      <c r="G6" s="5"/>
      <c r="H6" s="5" t="s">
        <v>511</v>
      </c>
      <c r="K6" s="5" t="s">
        <v>509</v>
      </c>
      <c r="L6" s="17" t="s">
        <v>92</v>
      </c>
      <c r="M6" s="18" t="s">
        <v>207</v>
      </c>
    </row>
    <row r="7" customFormat="false" ht="15" hidden="false" customHeight="false" outlineLevel="0" collapsed="false">
      <c r="A7" s="11" t="s">
        <v>512</v>
      </c>
      <c r="B7" s="12" t="n">
        <f aca="false">Referencias!$C$247</f>
        <v>2</v>
      </c>
      <c r="C7" s="13" t="n">
        <f aca="false">Referencias!$C$15/1000</f>
        <v>1</v>
      </c>
      <c r="D7" s="13" t="n">
        <f aca="false">Referencias!$C$14/1000</f>
        <v>1.2</v>
      </c>
      <c r="E7" s="15" t="s">
        <v>119</v>
      </c>
      <c r="F7" s="13" t="n">
        <f aca="false">B7*C7*D7</f>
        <v>2.4</v>
      </c>
      <c r="G7" s="11" t="s">
        <v>513</v>
      </c>
      <c r="H7" s="11" t="s">
        <v>514</v>
      </c>
      <c r="I7" s="11" t="s">
        <v>515</v>
      </c>
      <c r="J7" s="14" t="s">
        <v>92</v>
      </c>
      <c r="K7" s="11" t="s">
        <v>516</v>
      </c>
      <c r="L7" s="14" t="s">
        <v>92</v>
      </c>
      <c r="M7" s="15" t="s">
        <v>517</v>
      </c>
    </row>
    <row r="9" customFormat="false" ht="15" hidden="false" customHeight="false" outlineLevel="0" collapsed="false">
      <c r="A9" s="4" t="s">
        <v>49</v>
      </c>
      <c r="B9" s="19" t="n">
        <f aca="false">Referencias!$C$248</f>
        <v>2</v>
      </c>
      <c r="C9" s="4"/>
      <c r="D9" s="4"/>
      <c r="E9" s="4"/>
      <c r="F9" s="9" t="n">
        <f aca="false">SUM(F10:F11)</f>
        <v>1.2</v>
      </c>
      <c r="G9" s="4" t="str">
        <f aca="false">"máquinas · turnos: "&amp;Referencias!$C$249</f>
        <v>máquinas · turnos: 2</v>
      </c>
      <c r="H9" s="4" t="s">
        <v>518</v>
      </c>
      <c r="I9" s="4"/>
      <c r="J9" s="4"/>
      <c r="K9" s="4" t="s">
        <v>519</v>
      </c>
      <c r="L9" s="10" t="s">
        <v>92</v>
      </c>
      <c r="M9" s="4"/>
    </row>
    <row r="10" customFormat="false" ht="15" hidden="false" customHeight="false" outlineLevel="0" collapsed="false">
      <c r="A10" s="5" t="s">
        <v>520</v>
      </c>
      <c r="B10" s="16" t="n">
        <f aca="false">Referencias!$C$248</f>
        <v>2</v>
      </c>
      <c r="C10" s="18" t="s">
        <v>119</v>
      </c>
      <c r="D10" s="18" t="s">
        <v>119</v>
      </c>
      <c r="E10" s="18" t="s">
        <v>119</v>
      </c>
      <c r="G10" s="5"/>
      <c r="H10" s="5" t="s">
        <v>521</v>
      </c>
      <c r="K10" s="5" t="s">
        <v>519</v>
      </c>
      <c r="L10" s="17" t="s">
        <v>92</v>
      </c>
      <c r="M10" s="18" t="s">
        <v>207</v>
      </c>
    </row>
    <row r="11" customFormat="false" ht="15" hidden="false" customHeight="false" outlineLevel="0" collapsed="false">
      <c r="A11" s="11" t="s">
        <v>512</v>
      </c>
      <c r="B11" s="12" t="n">
        <f aca="false">Referencias!$C$250</f>
        <v>1</v>
      </c>
      <c r="C11" s="13" t="n">
        <f aca="false">Referencias!$C$15/1000</f>
        <v>1</v>
      </c>
      <c r="D11" s="13" t="n">
        <f aca="false">Referencias!$C$14/1000</f>
        <v>1.2</v>
      </c>
      <c r="E11" s="15" t="s">
        <v>119</v>
      </c>
      <c r="F11" s="13" t="n">
        <f aca="false">B11*C11*D11</f>
        <v>1.2</v>
      </c>
      <c r="G11" s="11" t="s">
        <v>513</v>
      </c>
      <c r="H11" s="11" t="s">
        <v>522</v>
      </c>
      <c r="I11" s="11" t="s">
        <v>515</v>
      </c>
      <c r="J11" s="14" t="s">
        <v>92</v>
      </c>
      <c r="K11" s="11" t="s">
        <v>523</v>
      </c>
      <c r="L11" s="14" t="s">
        <v>92</v>
      </c>
      <c r="M11" s="15" t="s">
        <v>517</v>
      </c>
    </row>
    <row r="13" customFormat="false" ht="15" hidden="false" customHeight="false" outlineLevel="0" collapsed="false">
      <c r="A13" s="4" t="s">
        <v>50</v>
      </c>
      <c r="B13" s="19" t="n">
        <f aca="false">Referencias!$C$251</f>
        <v>1</v>
      </c>
      <c r="C13" s="4"/>
      <c r="D13" s="4"/>
      <c r="E13" s="4"/>
      <c r="F13" s="9" t="n">
        <f aca="false">SUM(F14:F15)</f>
        <v>1.52</v>
      </c>
      <c r="G13" s="4" t="str">
        <f aca="false">"máquinas · turnos: "&amp;Referencias!$C$252</f>
        <v>máquinas · turnos: 2</v>
      </c>
      <c r="H13" s="4" t="s">
        <v>524</v>
      </c>
      <c r="I13" s="4"/>
      <c r="J13" s="4"/>
      <c r="K13" s="4" t="s">
        <v>525</v>
      </c>
      <c r="L13" s="10" t="s">
        <v>92</v>
      </c>
      <c r="M13" s="4"/>
    </row>
    <row r="14" customFormat="false" ht="23.85" hidden="false" customHeight="false" outlineLevel="0" collapsed="false">
      <c r="A14" s="5" t="s">
        <v>526</v>
      </c>
      <c r="B14" s="16" t="n">
        <f aca="false">Referencias!$C$251</f>
        <v>1</v>
      </c>
      <c r="C14" s="6" t="n">
        <f aca="false">Referencias!$C$96/100</f>
        <v>0.4</v>
      </c>
      <c r="D14" s="6" t="n">
        <f aca="false">Referencias!$C$95/100</f>
        <v>0.8</v>
      </c>
      <c r="E14" s="6" t="n">
        <f aca="false">Referencias!$C$97/100</f>
        <v>1.35</v>
      </c>
      <c r="F14" s="6" t="n">
        <f aca="false">B14*C14*D14</f>
        <v>0.32</v>
      </c>
      <c r="G14" s="5"/>
      <c r="H14" s="5" t="s">
        <v>527</v>
      </c>
      <c r="I14" s="5" t="s">
        <v>528</v>
      </c>
      <c r="J14" s="17" t="s">
        <v>160</v>
      </c>
      <c r="K14" s="5" t="s">
        <v>525</v>
      </c>
      <c r="L14" s="17" t="s">
        <v>92</v>
      </c>
      <c r="M14" s="18" t="s">
        <v>529</v>
      </c>
    </row>
    <row r="15" customFormat="false" ht="15" hidden="false" customHeight="false" outlineLevel="0" collapsed="false">
      <c r="A15" s="11" t="s">
        <v>512</v>
      </c>
      <c r="B15" s="12" t="n">
        <f aca="false">Referencias!$C$253</f>
        <v>1</v>
      </c>
      <c r="C15" s="13" t="n">
        <f aca="false">Referencias!$C$15/1000</f>
        <v>1</v>
      </c>
      <c r="D15" s="13" t="n">
        <f aca="false">Referencias!$C$14/1000</f>
        <v>1.2</v>
      </c>
      <c r="E15" s="15" t="s">
        <v>119</v>
      </c>
      <c r="F15" s="13" t="n">
        <f aca="false">B15*C15*D15</f>
        <v>1.2</v>
      </c>
      <c r="G15" s="11" t="s">
        <v>513</v>
      </c>
      <c r="H15" s="11" t="s">
        <v>530</v>
      </c>
      <c r="I15" s="11" t="s">
        <v>515</v>
      </c>
      <c r="J15" s="14" t="s">
        <v>92</v>
      </c>
      <c r="K15" s="11" t="s">
        <v>531</v>
      </c>
      <c r="L15" s="14" t="s">
        <v>92</v>
      </c>
      <c r="M15" s="15" t="s">
        <v>517</v>
      </c>
    </row>
    <row r="17" customFormat="false" ht="15" hidden="false" customHeight="false" outlineLevel="0" collapsed="false">
      <c r="A17" s="4" t="s">
        <v>51</v>
      </c>
      <c r="B17" s="19" t="n">
        <f aca="false">Referencias!$C$254</f>
        <v>1</v>
      </c>
      <c r="C17" s="4"/>
      <c r="D17" s="4"/>
      <c r="E17" s="4"/>
      <c r="F17" s="9" t="n">
        <f aca="false">SUM(F18:F19)</f>
        <v>1.2</v>
      </c>
      <c r="G17" s="4" t="str">
        <f aca="false">"máquinas · turnos: "&amp;Referencias!$C$255</f>
        <v>máquinas · turnos: 1</v>
      </c>
      <c r="H17" s="4" t="s">
        <v>532</v>
      </c>
      <c r="I17" s="4"/>
      <c r="J17" s="4"/>
      <c r="K17" s="4" t="s">
        <v>533</v>
      </c>
      <c r="L17" s="10" t="s">
        <v>92</v>
      </c>
      <c r="M17" s="4"/>
    </row>
    <row r="18" customFormat="false" ht="15" hidden="false" customHeight="false" outlineLevel="0" collapsed="false">
      <c r="A18" s="5" t="s">
        <v>534</v>
      </c>
      <c r="B18" s="16" t="n">
        <f aca="false">Referencias!$C$254</f>
        <v>1</v>
      </c>
      <c r="C18" s="18" t="s">
        <v>119</v>
      </c>
      <c r="D18" s="18" t="s">
        <v>119</v>
      </c>
      <c r="E18" s="18" t="s">
        <v>119</v>
      </c>
      <c r="G18" s="5"/>
      <c r="H18" s="5" t="s">
        <v>535</v>
      </c>
      <c r="K18" s="5" t="s">
        <v>533</v>
      </c>
      <c r="L18" s="17" t="s">
        <v>92</v>
      </c>
      <c r="M18" s="18" t="s">
        <v>207</v>
      </c>
    </row>
    <row r="19" customFormat="false" ht="15" hidden="false" customHeight="false" outlineLevel="0" collapsed="false">
      <c r="A19" s="11" t="s">
        <v>512</v>
      </c>
      <c r="B19" s="12" t="n">
        <f aca="false">Referencias!$C$256</f>
        <v>1</v>
      </c>
      <c r="C19" s="13" t="n">
        <f aca="false">Referencias!$C$15/1000</f>
        <v>1</v>
      </c>
      <c r="D19" s="13" t="n">
        <f aca="false">Referencias!$C$14/1000</f>
        <v>1.2</v>
      </c>
      <c r="E19" s="15" t="s">
        <v>119</v>
      </c>
      <c r="F19" s="13" t="n">
        <f aca="false">B19*C19*D19</f>
        <v>1.2</v>
      </c>
      <c r="G19" s="11" t="s">
        <v>513</v>
      </c>
      <c r="H19" s="11" t="s">
        <v>536</v>
      </c>
      <c r="I19" s="11" t="s">
        <v>515</v>
      </c>
      <c r="J19" s="14" t="s">
        <v>92</v>
      </c>
      <c r="K19" s="11" t="s">
        <v>537</v>
      </c>
      <c r="L19" s="14" t="s">
        <v>92</v>
      </c>
      <c r="M19" s="15" t="s">
        <v>517</v>
      </c>
    </row>
    <row r="21" customFormat="false" ht="15" hidden="false" customHeight="false" outlineLevel="0" collapsed="false">
      <c r="A21" s="4" t="s">
        <v>52</v>
      </c>
      <c r="B21" s="19" t="n">
        <f aca="false">Referencias!$C$257</f>
        <v>1</v>
      </c>
      <c r="C21" s="4"/>
      <c r="D21" s="4"/>
      <c r="E21" s="4"/>
      <c r="F21" s="9" t="n">
        <f aca="false">SUM(F22:F23)</f>
        <v>1.548</v>
      </c>
      <c r="G21" s="4" t="str">
        <f aca="false">"máquinas · turnos: "&amp;Referencias!$C$258</f>
        <v>máquinas · turnos: 1</v>
      </c>
      <c r="H21" s="4" t="s">
        <v>538</v>
      </c>
      <c r="I21" s="4"/>
      <c r="J21" s="4"/>
      <c r="K21" s="4" t="s">
        <v>539</v>
      </c>
      <c r="L21" s="10" t="s">
        <v>92</v>
      </c>
      <c r="M21" s="4"/>
    </row>
    <row r="22" customFormat="false" ht="23.85" hidden="false" customHeight="false" outlineLevel="0" collapsed="false">
      <c r="A22" s="5" t="s">
        <v>540</v>
      </c>
      <c r="B22" s="16" t="n">
        <f aca="false">Referencias!$C$257</f>
        <v>1</v>
      </c>
      <c r="C22" s="6" t="n">
        <f aca="false">Referencias!$C$99/100</f>
        <v>0.58</v>
      </c>
      <c r="D22" s="6" t="n">
        <f aca="false">Referencias!$C$98/100</f>
        <v>0.6</v>
      </c>
      <c r="E22" s="6" t="n">
        <f aca="false">Referencias!$C$100/100</f>
        <v>0.95</v>
      </c>
      <c r="F22" s="6" t="n">
        <f aca="false">B22*C22*D22</f>
        <v>0.348</v>
      </c>
      <c r="G22" s="5"/>
      <c r="H22" s="5" t="s">
        <v>541</v>
      </c>
      <c r="I22" s="5" t="s">
        <v>542</v>
      </c>
      <c r="J22" s="17" t="s">
        <v>160</v>
      </c>
      <c r="K22" s="5" t="s">
        <v>539</v>
      </c>
      <c r="L22" s="17" t="s">
        <v>92</v>
      </c>
      <c r="M22" s="18" t="s">
        <v>529</v>
      </c>
    </row>
    <row r="23" customFormat="false" ht="15" hidden="false" customHeight="false" outlineLevel="0" collapsed="false">
      <c r="A23" s="11" t="s">
        <v>512</v>
      </c>
      <c r="B23" s="12" t="n">
        <f aca="false">Referencias!$C$259</f>
        <v>1</v>
      </c>
      <c r="C23" s="13" t="n">
        <f aca="false">Referencias!$C$15/1000</f>
        <v>1</v>
      </c>
      <c r="D23" s="13" t="n">
        <f aca="false">Referencias!$C$14/1000</f>
        <v>1.2</v>
      </c>
      <c r="E23" s="15" t="s">
        <v>119</v>
      </c>
      <c r="F23" s="13" t="n">
        <f aca="false">B23*C23*D23</f>
        <v>1.2</v>
      </c>
      <c r="G23" s="11" t="s">
        <v>513</v>
      </c>
      <c r="H23" s="11" t="s">
        <v>543</v>
      </c>
      <c r="I23" s="11" t="s">
        <v>515</v>
      </c>
      <c r="J23" s="14" t="s">
        <v>92</v>
      </c>
      <c r="K23" s="11" t="s">
        <v>544</v>
      </c>
      <c r="L23" s="14" t="s">
        <v>92</v>
      </c>
      <c r="M23" s="15" t="s">
        <v>517</v>
      </c>
    </row>
    <row r="25" customFormat="false" ht="15" hidden="false" customHeight="false" outlineLevel="0" collapsed="false">
      <c r="A25" s="4" t="s">
        <v>53</v>
      </c>
      <c r="B25" s="19" t="n">
        <f aca="false">Referencias!$C$260</f>
        <v>1</v>
      </c>
      <c r="C25" s="4"/>
      <c r="D25" s="4"/>
      <c r="E25" s="4"/>
      <c r="F25" s="9" t="n">
        <f aca="false">SUM(F26:F27)</f>
        <v>1.5575</v>
      </c>
      <c r="G25" s="4" t="str">
        <f aca="false">"máquinas · turnos: "&amp;Referencias!$C$261</f>
        <v>máquinas · turnos: 1</v>
      </c>
      <c r="H25" s="4" t="s">
        <v>545</v>
      </c>
      <c r="I25" s="4"/>
      <c r="J25" s="4"/>
      <c r="K25" s="4" t="s">
        <v>546</v>
      </c>
      <c r="L25" s="10" t="s">
        <v>92</v>
      </c>
      <c r="M25" s="4"/>
    </row>
    <row r="26" customFormat="false" ht="23.85" hidden="false" customHeight="false" outlineLevel="0" collapsed="false">
      <c r="A26" s="5" t="s">
        <v>547</v>
      </c>
      <c r="B26" s="16" t="n">
        <f aca="false">Referencias!$C$260</f>
        <v>1</v>
      </c>
      <c r="C26" s="6" t="n">
        <f aca="false">Referencias!$C$102/100</f>
        <v>0.55</v>
      </c>
      <c r="D26" s="6" t="n">
        <f aca="false">Referencias!$C$101/100</f>
        <v>0.65</v>
      </c>
      <c r="E26" s="6" t="n">
        <f aca="false">Referencias!$C$103/100</f>
        <v>1.05</v>
      </c>
      <c r="F26" s="6" t="n">
        <f aca="false">B26*C26*D26</f>
        <v>0.3575</v>
      </c>
      <c r="G26" s="5"/>
      <c r="H26" s="5" t="s">
        <v>548</v>
      </c>
      <c r="I26" s="5" t="s">
        <v>549</v>
      </c>
      <c r="J26" s="17" t="s">
        <v>160</v>
      </c>
      <c r="K26" s="5" t="s">
        <v>546</v>
      </c>
      <c r="L26" s="17" t="s">
        <v>92</v>
      </c>
      <c r="M26" s="18" t="s">
        <v>529</v>
      </c>
    </row>
    <row r="27" customFormat="false" ht="15" hidden="false" customHeight="false" outlineLevel="0" collapsed="false">
      <c r="A27" s="11" t="s">
        <v>512</v>
      </c>
      <c r="B27" s="12" t="n">
        <f aca="false">Referencias!$C$262</f>
        <v>1</v>
      </c>
      <c r="C27" s="13" t="n">
        <f aca="false">Referencias!$C$15/1000</f>
        <v>1</v>
      </c>
      <c r="D27" s="13" t="n">
        <f aca="false">Referencias!$C$14/1000</f>
        <v>1.2</v>
      </c>
      <c r="E27" s="15" t="s">
        <v>119</v>
      </c>
      <c r="F27" s="13" t="n">
        <f aca="false">B27*C27*D27</f>
        <v>1.2</v>
      </c>
      <c r="G27" s="11" t="s">
        <v>513</v>
      </c>
      <c r="H27" s="11" t="s">
        <v>550</v>
      </c>
      <c r="I27" s="11" t="s">
        <v>515</v>
      </c>
      <c r="J27" s="14" t="s">
        <v>92</v>
      </c>
      <c r="K27" s="11" t="s">
        <v>551</v>
      </c>
      <c r="L27" s="14" t="s">
        <v>92</v>
      </c>
      <c r="M27" s="15" t="s">
        <v>517</v>
      </c>
    </row>
    <row r="29" customFormat="false" ht="15" hidden="false" customHeight="false" outlineLevel="0" collapsed="false">
      <c r="A29" s="4" t="s">
        <v>54</v>
      </c>
      <c r="B29" s="19" t="n">
        <f aca="false">Referencias!$C$263</f>
        <v>1</v>
      </c>
      <c r="C29" s="4"/>
      <c r="D29" s="4"/>
      <c r="E29" s="4"/>
      <c r="F29" s="9" t="n">
        <f aca="false">SUM(F30:F31)</f>
        <v>1.2</v>
      </c>
      <c r="G29" s="4" t="str">
        <f aca="false">"máquinas · turnos: "&amp;Referencias!$C$264</f>
        <v>máquinas · turnos: 1</v>
      </c>
      <c r="H29" s="4" t="s">
        <v>552</v>
      </c>
      <c r="I29" s="4"/>
      <c r="J29" s="4"/>
      <c r="K29" s="4" t="s">
        <v>553</v>
      </c>
      <c r="L29" s="10" t="s">
        <v>92</v>
      </c>
      <c r="M29" s="4"/>
    </row>
    <row r="30" customFormat="false" ht="15" hidden="false" customHeight="false" outlineLevel="0" collapsed="false">
      <c r="A30" s="5" t="s">
        <v>554</v>
      </c>
      <c r="B30" s="16" t="n">
        <f aca="false">Referencias!$C$263</f>
        <v>1</v>
      </c>
      <c r="C30" s="18" t="s">
        <v>119</v>
      </c>
      <c r="D30" s="18" t="s">
        <v>119</v>
      </c>
      <c r="E30" s="18" t="s">
        <v>119</v>
      </c>
      <c r="G30" s="5"/>
      <c r="H30" s="5" t="s">
        <v>555</v>
      </c>
      <c r="K30" s="5" t="s">
        <v>553</v>
      </c>
      <c r="L30" s="17" t="s">
        <v>92</v>
      </c>
      <c r="M30" s="18" t="s">
        <v>207</v>
      </c>
    </row>
    <row r="31" customFormat="false" ht="15" hidden="false" customHeight="false" outlineLevel="0" collapsed="false">
      <c r="A31" s="11" t="s">
        <v>512</v>
      </c>
      <c r="B31" s="12" t="n">
        <f aca="false">Referencias!$C$265</f>
        <v>1</v>
      </c>
      <c r="C31" s="13" t="n">
        <f aca="false">Referencias!$C$15/1000</f>
        <v>1</v>
      </c>
      <c r="D31" s="13" t="n">
        <f aca="false">Referencias!$C$14/1000</f>
        <v>1.2</v>
      </c>
      <c r="E31" s="15" t="s">
        <v>119</v>
      </c>
      <c r="F31" s="13" t="n">
        <f aca="false">B31*C31*D31</f>
        <v>1.2</v>
      </c>
      <c r="G31" s="11" t="s">
        <v>513</v>
      </c>
      <c r="H31" s="11" t="s">
        <v>556</v>
      </c>
      <c r="I31" s="11" t="s">
        <v>515</v>
      </c>
      <c r="J31" s="14" t="s">
        <v>92</v>
      </c>
      <c r="K31" s="11" t="s">
        <v>557</v>
      </c>
      <c r="L31" s="14" t="s">
        <v>92</v>
      </c>
      <c r="M31" s="15" t="s">
        <v>517</v>
      </c>
    </row>
    <row r="33" customFormat="false" ht="15" hidden="false" customHeight="false" outlineLevel="0" collapsed="false">
      <c r="A33" s="4" t="s">
        <v>55</v>
      </c>
      <c r="B33" s="19" t="n">
        <f aca="false">Referencias!$C$266</f>
        <v>2</v>
      </c>
      <c r="C33" s="4"/>
      <c r="D33" s="4"/>
      <c r="E33" s="4"/>
      <c r="F33" s="9" t="n">
        <f aca="false">SUM(F34:F35)</f>
        <v>1.2</v>
      </c>
      <c r="G33" s="4" t="str">
        <f aca="false">"máquinas · turnos: "&amp;Referencias!$C$267</f>
        <v>máquinas · turnos: 2</v>
      </c>
      <c r="H33" s="4" t="s">
        <v>558</v>
      </c>
      <c r="I33" s="4"/>
      <c r="J33" s="4"/>
      <c r="K33" s="4" t="s">
        <v>559</v>
      </c>
      <c r="L33" s="10" t="s">
        <v>92</v>
      </c>
      <c r="M33" s="4"/>
    </row>
    <row r="34" customFormat="false" ht="15" hidden="false" customHeight="false" outlineLevel="0" collapsed="false">
      <c r="A34" s="5" t="s">
        <v>560</v>
      </c>
      <c r="B34" s="16" t="n">
        <f aca="false">Referencias!$C$266</f>
        <v>2</v>
      </c>
      <c r="C34" s="18" t="s">
        <v>119</v>
      </c>
      <c r="D34" s="18" t="s">
        <v>119</v>
      </c>
      <c r="E34" s="18" t="s">
        <v>119</v>
      </c>
      <c r="G34" s="5"/>
      <c r="H34" s="5" t="s">
        <v>561</v>
      </c>
      <c r="K34" s="5" t="s">
        <v>559</v>
      </c>
      <c r="L34" s="17" t="s">
        <v>92</v>
      </c>
      <c r="M34" s="18" t="s">
        <v>207</v>
      </c>
    </row>
    <row r="35" customFormat="false" ht="15" hidden="false" customHeight="false" outlineLevel="0" collapsed="false">
      <c r="A35" s="11" t="s">
        <v>512</v>
      </c>
      <c r="B35" s="12" t="n">
        <f aca="false">Referencias!$C$268</f>
        <v>1</v>
      </c>
      <c r="C35" s="13" t="n">
        <f aca="false">Referencias!$C$15/1000</f>
        <v>1</v>
      </c>
      <c r="D35" s="13" t="n">
        <f aca="false">Referencias!$C$14/1000</f>
        <v>1.2</v>
      </c>
      <c r="E35" s="15" t="s">
        <v>119</v>
      </c>
      <c r="F35" s="13" t="n">
        <f aca="false">B35*C35*D35</f>
        <v>1.2</v>
      </c>
      <c r="G35" s="11" t="s">
        <v>513</v>
      </c>
      <c r="H35" s="11" t="s">
        <v>562</v>
      </c>
      <c r="I35" s="11" t="s">
        <v>515</v>
      </c>
      <c r="J35" s="14" t="s">
        <v>92</v>
      </c>
      <c r="K35" s="11" t="s">
        <v>563</v>
      </c>
      <c r="L35" s="14" t="s">
        <v>92</v>
      </c>
      <c r="M35" s="15" t="s">
        <v>517</v>
      </c>
    </row>
    <row r="37" customFormat="false" ht="15" hidden="false" customHeight="false" outlineLevel="0" collapsed="false">
      <c r="A37" s="4" t="s">
        <v>56</v>
      </c>
      <c r="B37" s="19" t="n">
        <f aca="false">Referencias!$C$269</f>
        <v>1</v>
      </c>
      <c r="C37" s="4"/>
      <c r="D37" s="4"/>
      <c r="E37" s="4"/>
      <c r="F37" s="9" t="n">
        <f aca="false">SUM(F38:F39)</f>
        <v>1.2</v>
      </c>
      <c r="G37" s="4" t="str">
        <f aca="false">"máquinas · turnos: "&amp;Referencias!$C$270</f>
        <v>máquinas · turnos: 1</v>
      </c>
      <c r="H37" s="4" t="s">
        <v>564</v>
      </c>
      <c r="I37" s="4"/>
      <c r="J37" s="4"/>
      <c r="K37" s="4" t="s">
        <v>565</v>
      </c>
      <c r="L37" s="10" t="s">
        <v>92</v>
      </c>
      <c r="M37" s="4"/>
    </row>
    <row r="38" customFormat="false" ht="15" hidden="false" customHeight="false" outlineLevel="0" collapsed="false">
      <c r="A38" s="5" t="s">
        <v>566</v>
      </c>
      <c r="B38" s="16" t="n">
        <f aca="false">Referencias!$C$269</f>
        <v>1</v>
      </c>
      <c r="C38" s="18" t="s">
        <v>119</v>
      </c>
      <c r="D38" s="18" t="s">
        <v>119</v>
      </c>
      <c r="E38" s="18" t="s">
        <v>119</v>
      </c>
      <c r="G38" s="5"/>
      <c r="H38" s="5" t="s">
        <v>567</v>
      </c>
      <c r="K38" s="5" t="s">
        <v>565</v>
      </c>
      <c r="L38" s="17" t="s">
        <v>92</v>
      </c>
      <c r="M38" s="18" t="s">
        <v>207</v>
      </c>
    </row>
    <row r="39" customFormat="false" ht="15" hidden="false" customHeight="false" outlineLevel="0" collapsed="false">
      <c r="A39" s="11" t="s">
        <v>512</v>
      </c>
      <c r="B39" s="12" t="n">
        <f aca="false">Referencias!$C$271</f>
        <v>1</v>
      </c>
      <c r="C39" s="13" t="n">
        <f aca="false">Referencias!$C$15/1000</f>
        <v>1</v>
      </c>
      <c r="D39" s="13" t="n">
        <f aca="false">Referencias!$C$14/1000</f>
        <v>1.2</v>
      </c>
      <c r="E39" s="15" t="s">
        <v>119</v>
      </c>
      <c r="F39" s="13" t="n">
        <f aca="false">B39*C39*D39</f>
        <v>1.2</v>
      </c>
      <c r="G39" s="11" t="s">
        <v>513</v>
      </c>
      <c r="H39" s="11" t="s">
        <v>568</v>
      </c>
      <c r="I39" s="11" t="s">
        <v>515</v>
      </c>
      <c r="J39" s="14" t="s">
        <v>92</v>
      </c>
      <c r="K39" s="11" t="s">
        <v>569</v>
      </c>
      <c r="L39" s="14" t="s">
        <v>92</v>
      </c>
      <c r="M39" s="15" t="s">
        <v>517</v>
      </c>
    </row>
    <row r="41" customFormat="false" ht="15" hidden="false" customHeight="false" outlineLevel="0" collapsed="false">
      <c r="A41" s="4" t="s">
        <v>57</v>
      </c>
      <c r="B41" s="19" t="n">
        <f aca="false">Referencias!$C$272</f>
        <v>1</v>
      </c>
      <c r="C41" s="4"/>
      <c r="D41" s="4"/>
      <c r="E41" s="4"/>
      <c r="F41" s="9" t="n">
        <f aca="false">SUM(F42:F43)</f>
        <v>1.2</v>
      </c>
      <c r="G41" s="4" t="str">
        <f aca="false">"máquinas · turnos: "&amp;Referencias!$C$273</f>
        <v>máquinas · turnos: 1</v>
      </c>
      <c r="H41" s="4" t="s">
        <v>570</v>
      </c>
      <c r="I41" s="4"/>
      <c r="J41" s="4"/>
      <c r="K41" s="4" t="s">
        <v>571</v>
      </c>
      <c r="L41" s="10" t="s">
        <v>92</v>
      </c>
      <c r="M41" s="4"/>
    </row>
    <row r="42" customFormat="false" ht="15" hidden="false" customHeight="false" outlineLevel="0" collapsed="false">
      <c r="A42" s="5" t="s">
        <v>572</v>
      </c>
      <c r="B42" s="16" t="n">
        <f aca="false">Referencias!$C$272</f>
        <v>1</v>
      </c>
      <c r="C42" s="18" t="s">
        <v>119</v>
      </c>
      <c r="D42" s="18" t="s">
        <v>119</v>
      </c>
      <c r="E42" s="18" t="s">
        <v>119</v>
      </c>
      <c r="G42" s="5"/>
      <c r="H42" s="5" t="s">
        <v>573</v>
      </c>
      <c r="K42" s="5" t="s">
        <v>571</v>
      </c>
      <c r="L42" s="17" t="s">
        <v>92</v>
      </c>
      <c r="M42" s="18" t="s">
        <v>207</v>
      </c>
    </row>
    <row r="43" customFormat="false" ht="15" hidden="false" customHeight="false" outlineLevel="0" collapsed="false">
      <c r="A43" s="11" t="s">
        <v>512</v>
      </c>
      <c r="B43" s="12" t="n">
        <f aca="false">Referencias!$C$274</f>
        <v>1</v>
      </c>
      <c r="C43" s="13" t="n">
        <f aca="false">Referencias!$C$15/1000</f>
        <v>1</v>
      </c>
      <c r="D43" s="13" t="n">
        <f aca="false">Referencias!$C$14/1000</f>
        <v>1.2</v>
      </c>
      <c r="E43" s="15" t="s">
        <v>119</v>
      </c>
      <c r="F43" s="13" t="n">
        <f aca="false">B43*C43*D43</f>
        <v>1.2</v>
      </c>
      <c r="G43" s="11" t="s">
        <v>513</v>
      </c>
      <c r="H43" s="11" t="s">
        <v>574</v>
      </c>
      <c r="I43" s="11" t="s">
        <v>515</v>
      </c>
      <c r="J43" s="14" t="s">
        <v>92</v>
      </c>
      <c r="K43" s="11" t="s">
        <v>575</v>
      </c>
      <c r="L43" s="14" t="s">
        <v>92</v>
      </c>
      <c r="M43" s="15" t="s">
        <v>517</v>
      </c>
    </row>
    <row r="45" customFormat="false" ht="15" hidden="false" customHeight="false" outlineLevel="0" collapsed="false">
      <c r="A45" s="4" t="s">
        <v>58</v>
      </c>
      <c r="B45" s="19" t="n">
        <f aca="false">Referencias!$C$275</f>
        <v>1</v>
      </c>
      <c r="C45" s="4"/>
      <c r="D45" s="4"/>
      <c r="E45" s="4"/>
      <c r="F45" s="9" t="n">
        <f aca="false">SUM(F46:F48)</f>
        <v>2.3143</v>
      </c>
      <c r="G45" s="4" t="str">
        <f aca="false">"máquinas · turnos: "&amp;Referencias!$C$276</f>
        <v>máquinas · turnos: 2</v>
      </c>
      <c r="H45" s="4" t="s">
        <v>576</v>
      </c>
      <c r="I45" s="4"/>
      <c r="J45" s="4"/>
      <c r="K45" s="4" t="s">
        <v>577</v>
      </c>
      <c r="L45" s="10" t="s">
        <v>92</v>
      </c>
      <c r="M45" s="4"/>
    </row>
    <row r="46" customFormat="false" ht="23.85" hidden="false" customHeight="false" outlineLevel="0" collapsed="false">
      <c r="A46" s="5" t="s">
        <v>578</v>
      </c>
      <c r="B46" s="16" t="n">
        <f aca="false">Referencias!$C$275</f>
        <v>1</v>
      </c>
      <c r="C46" s="6" t="n">
        <f aca="false">Referencias!$C$105/100</f>
        <v>0.59</v>
      </c>
      <c r="D46" s="6" t="n">
        <f aca="false">Referencias!$C$104/100</f>
        <v>0.93</v>
      </c>
      <c r="E46" s="6" t="n">
        <f aca="false">Referencias!$C$106/100</f>
        <v>0.98</v>
      </c>
      <c r="F46" s="6" t="n">
        <f aca="false">B46*C46*D46</f>
        <v>0.5487</v>
      </c>
      <c r="G46" s="5"/>
      <c r="H46" s="5" t="s">
        <v>579</v>
      </c>
      <c r="I46" s="5" t="s">
        <v>580</v>
      </c>
      <c r="J46" s="17" t="s">
        <v>160</v>
      </c>
      <c r="K46" s="5" t="s">
        <v>577</v>
      </c>
      <c r="L46" s="17" t="s">
        <v>92</v>
      </c>
      <c r="M46" s="18" t="s">
        <v>529</v>
      </c>
    </row>
    <row r="47" customFormat="false" ht="23.85" hidden="false" customHeight="false" outlineLevel="0" collapsed="false">
      <c r="A47" s="5" t="s">
        <v>581</v>
      </c>
      <c r="B47" s="16" t="n">
        <f aca="false">Referencias!$C$275</f>
        <v>1</v>
      </c>
      <c r="C47" s="6" t="n">
        <f aca="false">Referencias!$C$108/100</f>
        <v>0.56</v>
      </c>
      <c r="D47" s="6" t="n">
        <f aca="false">Referencias!$C$107/100</f>
        <v>1.01</v>
      </c>
      <c r="E47" s="6" t="n">
        <f aca="false">Referencias!$C$109/100</f>
        <v>1.2</v>
      </c>
      <c r="F47" s="6" t="n">
        <f aca="false">B47*C47*D47</f>
        <v>0.5656</v>
      </c>
      <c r="G47" s="5"/>
      <c r="H47" s="5" t="s">
        <v>582</v>
      </c>
      <c r="I47" s="5" t="s">
        <v>580</v>
      </c>
      <c r="J47" s="17" t="s">
        <v>160</v>
      </c>
      <c r="K47" s="5" t="s">
        <v>577</v>
      </c>
      <c r="L47" s="17" t="s">
        <v>92</v>
      </c>
      <c r="M47" s="18" t="s">
        <v>529</v>
      </c>
    </row>
    <row r="48" customFormat="false" ht="15" hidden="false" customHeight="false" outlineLevel="0" collapsed="false">
      <c r="A48" s="11" t="s">
        <v>512</v>
      </c>
      <c r="B48" s="12" t="n">
        <f aca="false">Referencias!$C$277</f>
        <v>1</v>
      </c>
      <c r="C48" s="13" t="n">
        <f aca="false">Referencias!$C$15/1000</f>
        <v>1</v>
      </c>
      <c r="D48" s="13" t="n">
        <f aca="false">Referencias!$C$14/1000</f>
        <v>1.2</v>
      </c>
      <c r="E48" s="15" t="s">
        <v>119</v>
      </c>
      <c r="F48" s="13" t="n">
        <f aca="false">B48*C48*D48</f>
        <v>1.2</v>
      </c>
      <c r="G48" s="11" t="s">
        <v>513</v>
      </c>
      <c r="H48" s="11" t="s">
        <v>583</v>
      </c>
      <c r="I48" s="11" t="s">
        <v>515</v>
      </c>
      <c r="J48" s="14" t="s">
        <v>92</v>
      </c>
      <c r="K48" s="11" t="s">
        <v>584</v>
      </c>
      <c r="L48" s="14" t="s">
        <v>92</v>
      </c>
      <c r="M48" s="15" t="s">
        <v>517</v>
      </c>
    </row>
    <row r="50" customFormat="false" ht="15" hidden="false" customHeight="false" outlineLevel="0" collapsed="false">
      <c r="A50" s="4" t="s">
        <v>59</v>
      </c>
      <c r="B50" s="19" t="n">
        <f aca="false">Referencias!$C$278</f>
        <v>1</v>
      </c>
      <c r="C50" s="4"/>
      <c r="D50" s="4"/>
      <c r="E50" s="4"/>
      <c r="F50" s="9" t="n">
        <f aca="false">SUM(F51:F52)</f>
        <v>1.662</v>
      </c>
      <c r="G50" s="4" t="str">
        <f aca="false">"máquinas · turnos: "&amp;Referencias!$C$279</f>
        <v>máquinas · turnos: 2</v>
      </c>
      <c r="H50" s="4" t="s">
        <v>585</v>
      </c>
      <c r="I50" s="4"/>
      <c r="J50" s="4"/>
      <c r="K50" s="4" t="s">
        <v>586</v>
      </c>
      <c r="L50" s="10" t="s">
        <v>92</v>
      </c>
      <c r="M50" s="4"/>
    </row>
    <row r="51" customFormat="false" ht="23.85" hidden="false" customHeight="false" outlineLevel="0" collapsed="false">
      <c r="A51" s="5" t="s">
        <v>587</v>
      </c>
      <c r="B51" s="16" t="n">
        <f aca="false">Referencias!$C$278</f>
        <v>1</v>
      </c>
      <c r="C51" s="6" t="n">
        <f aca="false">Referencias!$C$78/100</f>
        <v>0.462</v>
      </c>
      <c r="D51" s="6" t="n">
        <f aca="false">Referencias!$C$77/100</f>
        <v>1</v>
      </c>
      <c r="E51" s="6" t="n">
        <f aca="false">Referencias!$C$79/100</f>
        <v>1.1</v>
      </c>
      <c r="F51" s="6" t="n">
        <f aca="false">B51*C51*D51</f>
        <v>0.462</v>
      </c>
      <c r="G51" s="5"/>
      <c r="H51" s="5" t="s">
        <v>588</v>
      </c>
      <c r="I51" s="5" t="s">
        <v>159</v>
      </c>
      <c r="J51" s="17" t="s">
        <v>160</v>
      </c>
      <c r="K51" s="5" t="s">
        <v>586</v>
      </c>
      <c r="L51" s="17" t="s">
        <v>92</v>
      </c>
      <c r="M51" s="18" t="s">
        <v>529</v>
      </c>
    </row>
    <row r="52" customFormat="false" ht="15" hidden="false" customHeight="false" outlineLevel="0" collapsed="false">
      <c r="A52" s="11" t="s">
        <v>512</v>
      </c>
      <c r="B52" s="12" t="n">
        <f aca="false">Referencias!$C$280</f>
        <v>1</v>
      </c>
      <c r="C52" s="13" t="n">
        <f aca="false">Referencias!$C$15/1000</f>
        <v>1</v>
      </c>
      <c r="D52" s="13" t="n">
        <f aca="false">Referencias!$C$14/1000</f>
        <v>1.2</v>
      </c>
      <c r="E52" s="15" t="s">
        <v>119</v>
      </c>
      <c r="F52" s="13" t="n">
        <f aca="false">B52*C52*D52</f>
        <v>1.2</v>
      </c>
      <c r="G52" s="11" t="s">
        <v>513</v>
      </c>
      <c r="H52" s="11" t="s">
        <v>589</v>
      </c>
      <c r="I52" s="11" t="s">
        <v>515</v>
      </c>
      <c r="J52" s="14" t="s">
        <v>92</v>
      </c>
      <c r="K52" s="11" t="s">
        <v>590</v>
      </c>
      <c r="L52" s="14" t="s">
        <v>92</v>
      </c>
      <c r="M52" s="15" t="s">
        <v>517</v>
      </c>
    </row>
    <row r="54" customFormat="false" ht="15" hidden="false" customHeight="false" outlineLevel="0" collapsed="false">
      <c r="A54" s="4" t="s">
        <v>60</v>
      </c>
      <c r="B54" s="19" t="n">
        <f aca="false">Referencias!$C$281</f>
        <v>1</v>
      </c>
      <c r="C54" s="4"/>
      <c r="D54" s="4"/>
      <c r="E54" s="4"/>
      <c r="F54" s="9" t="n">
        <f aca="false">SUM(F55:F56)</f>
        <v>1.2</v>
      </c>
      <c r="G54" s="4" t="str">
        <f aca="false">"máquinas · turnos: "&amp;Referencias!$C$282</f>
        <v>máquinas · turnos: 1</v>
      </c>
      <c r="H54" s="4" t="s">
        <v>591</v>
      </c>
      <c r="I54" s="4"/>
      <c r="J54" s="4"/>
      <c r="K54" s="4" t="s">
        <v>592</v>
      </c>
      <c r="L54" s="10" t="s">
        <v>92</v>
      </c>
      <c r="M54" s="4"/>
    </row>
    <row r="55" customFormat="false" ht="15" hidden="false" customHeight="false" outlineLevel="0" collapsed="false">
      <c r="A55" s="5" t="s">
        <v>593</v>
      </c>
      <c r="B55" s="16" t="n">
        <f aca="false">Referencias!$C$281</f>
        <v>1</v>
      </c>
      <c r="C55" s="18" t="s">
        <v>119</v>
      </c>
      <c r="D55" s="18" t="s">
        <v>119</v>
      </c>
      <c r="E55" s="18" t="s">
        <v>119</v>
      </c>
      <c r="G55" s="5"/>
      <c r="H55" s="5" t="s">
        <v>594</v>
      </c>
      <c r="K55" s="5" t="s">
        <v>592</v>
      </c>
      <c r="L55" s="17" t="s">
        <v>92</v>
      </c>
      <c r="M55" s="18" t="s">
        <v>207</v>
      </c>
    </row>
    <row r="56" customFormat="false" ht="15" hidden="false" customHeight="false" outlineLevel="0" collapsed="false">
      <c r="A56" s="11" t="s">
        <v>512</v>
      </c>
      <c r="B56" s="12" t="n">
        <f aca="false">Referencias!$C$283</f>
        <v>1</v>
      </c>
      <c r="C56" s="13" t="n">
        <f aca="false">Referencias!$C$15/1000</f>
        <v>1</v>
      </c>
      <c r="D56" s="13" t="n">
        <f aca="false">Referencias!$C$14/1000</f>
        <v>1.2</v>
      </c>
      <c r="E56" s="15" t="s">
        <v>119</v>
      </c>
      <c r="F56" s="13" t="n">
        <f aca="false">B56*C56*D56</f>
        <v>1.2</v>
      </c>
      <c r="G56" s="11" t="s">
        <v>513</v>
      </c>
      <c r="H56" s="11" t="s">
        <v>595</v>
      </c>
      <c r="I56" s="11" t="s">
        <v>515</v>
      </c>
      <c r="J56" s="14" t="s">
        <v>92</v>
      </c>
      <c r="K56" s="11" t="s">
        <v>596</v>
      </c>
      <c r="L56" s="14" t="s">
        <v>92</v>
      </c>
      <c r="M56" s="15" t="s">
        <v>517</v>
      </c>
    </row>
    <row r="58" customFormat="false" ht="15" hidden="false" customHeight="false" outlineLevel="0" collapsed="false">
      <c r="A58" s="4" t="s">
        <v>61</v>
      </c>
      <c r="B58" s="19" t="n">
        <f aca="false">Referencias!$C$284</f>
        <v>2</v>
      </c>
      <c r="C58" s="4"/>
      <c r="D58" s="4"/>
      <c r="E58" s="4"/>
      <c r="F58" s="9" t="n">
        <f aca="false">SUM(F59:F60)</f>
        <v>1.2</v>
      </c>
      <c r="G58" s="4" t="str">
        <f aca="false">"máquinas · turnos: "&amp;Referencias!$C$285</f>
        <v>máquinas · turnos: 2</v>
      </c>
      <c r="H58" s="4" t="s">
        <v>597</v>
      </c>
      <c r="I58" s="4"/>
      <c r="J58" s="4"/>
      <c r="K58" s="4" t="s">
        <v>598</v>
      </c>
      <c r="L58" s="10" t="s">
        <v>92</v>
      </c>
      <c r="M58" s="4"/>
    </row>
    <row r="59" customFormat="false" ht="15" hidden="false" customHeight="false" outlineLevel="0" collapsed="false">
      <c r="A59" s="5" t="s">
        <v>599</v>
      </c>
      <c r="B59" s="16" t="n">
        <f aca="false">Referencias!$C$284</f>
        <v>2</v>
      </c>
      <c r="C59" s="18" t="s">
        <v>119</v>
      </c>
      <c r="D59" s="18" t="s">
        <v>119</v>
      </c>
      <c r="E59" s="18" t="s">
        <v>119</v>
      </c>
      <c r="G59" s="5"/>
      <c r="H59" s="5" t="s">
        <v>600</v>
      </c>
      <c r="K59" s="5" t="s">
        <v>598</v>
      </c>
      <c r="L59" s="17" t="s">
        <v>92</v>
      </c>
      <c r="M59" s="18" t="s">
        <v>207</v>
      </c>
    </row>
    <row r="60" customFormat="false" ht="15" hidden="false" customHeight="false" outlineLevel="0" collapsed="false">
      <c r="A60" s="11" t="s">
        <v>512</v>
      </c>
      <c r="B60" s="12" t="n">
        <f aca="false">Referencias!$C$286</f>
        <v>1</v>
      </c>
      <c r="C60" s="13" t="n">
        <f aca="false">Referencias!$C$15/1000</f>
        <v>1</v>
      </c>
      <c r="D60" s="13" t="n">
        <f aca="false">Referencias!$C$14/1000</f>
        <v>1.2</v>
      </c>
      <c r="E60" s="15" t="s">
        <v>119</v>
      </c>
      <c r="F60" s="13" t="n">
        <f aca="false">B60*C60*D60</f>
        <v>1.2</v>
      </c>
      <c r="G60" s="11" t="s">
        <v>513</v>
      </c>
      <c r="H60" s="11" t="s">
        <v>601</v>
      </c>
      <c r="I60" s="11" t="s">
        <v>515</v>
      </c>
      <c r="J60" s="14" t="s">
        <v>92</v>
      </c>
      <c r="K60" s="11" t="s">
        <v>602</v>
      </c>
      <c r="L60" s="14" t="s">
        <v>92</v>
      </c>
      <c r="M60" s="15" t="s">
        <v>517</v>
      </c>
    </row>
    <row r="62" customFormat="false" ht="15" hidden="false" customHeight="false" outlineLevel="0" collapsed="false">
      <c r="A62" s="4" t="s">
        <v>62</v>
      </c>
      <c r="B62" s="19" t="n">
        <f aca="false">Referencias!$C$287</f>
        <v>2</v>
      </c>
      <c r="C62" s="4"/>
      <c r="D62" s="4"/>
      <c r="E62" s="4"/>
      <c r="F62" s="9" t="n">
        <f aca="false">SUM(F63:F64)</f>
        <v>1.8324</v>
      </c>
      <c r="G62" s="4" t="str">
        <f aca="false">"máquinas · turnos: "&amp;Referencias!$C$288</f>
        <v>máquinas · turnos: 2</v>
      </c>
      <c r="H62" s="4" t="s">
        <v>603</v>
      </c>
      <c r="I62" s="4"/>
      <c r="J62" s="4"/>
      <c r="K62" s="4" t="s">
        <v>604</v>
      </c>
      <c r="L62" s="10" t="s">
        <v>92</v>
      </c>
      <c r="M62" s="4"/>
    </row>
    <row r="63" customFormat="false" ht="23.85" hidden="false" customHeight="false" outlineLevel="0" collapsed="false">
      <c r="A63" s="5" t="s">
        <v>340</v>
      </c>
      <c r="B63" s="16" t="n">
        <f aca="false">Referencias!$C$287</f>
        <v>2</v>
      </c>
      <c r="C63" s="6" t="n">
        <f aca="false">Referencias!$C$59/1000</f>
        <v>0.51</v>
      </c>
      <c r="D63" s="6" t="n">
        <f aca="false">Referencias!$C$58/1000</f>
        <v>0.62</v>
      </c>
      <c r="E63" s="6" t="n">
        <f aca="false">Referencias!$C$60/1000</f>
        <v>1.2</v>
      </c>
      <c r="F63" s="6" t="n">
        <f aca="false">B63*C63*D63</f>
        <v>0.6324</v>
      </c>
      <c r="G63" s="5"/>
      <c r="H63" s="5" t="s">
        <v>605</v>
      </c>
      <c r="I63" s="5" t="s">
        <v>342</v>
      </c>
      <c r="J63" s="17" t="s">
        <v>343</v>
      </c>
      <c r="K63" s="5" t="s">
        <v>604</v>
      </c>
      <c r="L63" s="17" t="s">
        <v>92</v>
      </c>
      <c r="M63" s="18"/>
    </row>
    <row r="64" customFormat="false" ht="15" hidden="false" customHeight="false" outlineLevel="0" collapsed="false">
      <c r="A64" s="11" t="s">
        <v>512</v>
      </c>
      <c r="B64" s="12" t="n">
        <f aca="false">Referencias!$C$289</f>
        <v>1</v>
      </c>
      <c r="C64" s="13" t="n">
        <f aca="false">Referencias!$C$15/1000</f>
        <v>1</v>
      </c>
      <c r="D64" s="13" t="n">
        <f aca="false">Referencias!$C$14/1000</f>
        <v>1.2</v>
      </c>
      <c r="E64" s="15" t="s">
        <v>119</v>
      </c>
      <c r="F64" s="13" t="n">
        <f aca="false">B64*C64*D64</f>
        <v>1.2</v>
      </c>
      <c r="G64" s="11" t="s">
        <v>513</v>
      </c>
      <c r="H64" s="11" t="s">
        <v>606</v>
      </c>
      <c r="I64" s="11" t="s">
        <v>515</v>
      </c>
      <c r="J64" s="14" t="s">
        <v>92</v>
      </c>
      <c r="K64" s="11" t="s">
        <v>607</v>
      </c>
      <c r="L64" s="14" t="s">
        <v>92</v>
      </c>
      <c r="M64" s="15" t="s">
        <v>517</v>
      </c>
    </row>
    <row r="66" customFormat="false" ht="15" hidden="false" customHeight="false" outlineLevel="0" collapsed="false">
      <c r="A66" s="4" t="s">
        <v>63</v>
      </c>
      <c r="B66" s="19" t="n">
        <f aca="false">Referencias!$C$290</f>
        <v>2</v>
      </c>
      <c r="C66" s="4"/>
      <c r="D66" s="4"/>
      <c r="E66" s="4"/>
      <c r="F66" s="9" t="n">
        <f aca="false">SUM(F67:F68)</f>
        <v>1.732</v>
      </c>
      <c r="G66" s="4" t="str">
        <f aca="false">"máquinas · turnos: "&amp;Referencias!$C$291</f>
        <v>máquinas · turnos: 2</v>
      </c>
      <c r="H66" s="4" t="s">
        <v>608</v>
      </c>
      <c r="I66" s="4"/>
      <c r="J66" s="4"/>
      <c r="K66" s="4" t="s">
        <v>609</v>
      </c>
      <c r="L66" s="10" t="s">
        <v>92</v>
      </c>
      <c r="M66" s="4"/>
    </row>
    <row r="67" customFormat="false" ht="23.85" hidden="false" customHeight="false" outlineLevel="0" collapsed="false">
      <c r="A67" s="5" t="s">
        <v>610</v>
      </c>
      <c r="B67" s="16" t="n">
        <f aca="false">Referencias!$C$290</f>
        <v>2</v>
      </c>
      <c r="C67" s="6" t="n">
        <f aca="false">Referencias!$C$111/100</f>
        <v>0.35</v>
      </c>
      <c r="D67" s="6" t="n">
        <f aca="false">Referencias!$C$110/100</f>
        <v>0.76</v>
      </c>
      <c r="E67" s="6" t="n">
        <f aca="false">Referencias!$C$112/100</f>
        <v>0.32</v>
      </c>
      <c r="F67" s="6" t="n">
        <f aca="false">B67*C67*D67</f>
        <v>0.532</v>
      </c>
      <c r="G67" s="5"/>
      <c r="H67" s="5" t="s">
        <v>611</v>
      </c>
      <c r="I67" s="5" t="s">
        <v>612</v>
      </c>
      <c r="J67" s="17" t="s">
        <v>160</v>
      </c>
      <c r="K67" s="5" t="s">
        <v>609</v>
      </c>
      <c r="L67" s="17" t="s">
        <v>92</v>
      </c>
      <c r="M67" s="18" t="s">
        <v>529</v>
      </c>
    </row>
    <row r="68" customFormat="false" ht="15" hidden="false" customHeight="false" outlineLevel="0" collapsed="false">
      <c r="A68" s="11" t="s">
        <v>512</v>
      </c>
      <c r="B68" s="12" t="n">
        <f aca="false">Referencias!$C$292</f>
        <v>1</v>
      </c>
      <c r="C68" s="13" t="n">
        <f aca="false">Referencias!$C$15/1000</f>
        <v>1</v>
      </c>
      <c r="D68" s="13" t="n">
        <f aca="false">Referencias!$C$14/1000</f>
        <v>1.2</v>
      </c>
      <c r="E68" s="15" t="s">
        <v>119</v>
      </c>
      <c r="F68" s="13" t="n">
        <f aca="false">B68*C68*D68</f>
        <v>1.2</v>
      </c>
      <c r="G68" s="11" t="s">
        <v>513</v>
      </c>
      <c r="H68" s="11" t="s">
        <v>613</v>
      </c>
      <c r="I68" s="11" t="s">
        <v>515</v>
      </c>
      <c r="J68" s="14" t="s">
        <v>92</v>
      </c>
      <c r="K68" s="11" t="s">
        <v>614</v>
      </c>
      <c r="L68" s="14" t="s">
        <v>92</v>
      </c>
      <c r="M68" s="15" t="s">
        <v>517</v>
      </c>
    </row>
    <row r="70" customFormat="false" ht="15" hidden="false" customHeight="false" outlineLevel="0" collapsed="false">
      <c r="A70" s="4" t="s">
        <v>64</v>
      </c>
      <c r="B70" s="19" t="n">
        <f aca="false">Referencias!$C$293</f>
        <v>1</v>
      </c>
      <c r="C70" s="4"/>
      <c r="D70" s="4"/>
      <c r="E70" s="4"/>
      <c r="F70" s="9" t="n">
        <f aca="false">SUM(F71:F72)</f>
        <v>1.4925</v>
      </c>
      <c r="G70" s="4" t="str">
        <f aca="false">"máquinas · turnos: "&amp;Referencias!$C$294</f>
        <v>máquinas · turnos: 2</v>
      </c>
      <c r="H70" s="4" t="s">
        <v>615</v>
      </c>
      <c r="I70" s="4"/>
      <c r="J70" s="4"/>
      <c r="K70" s="4" t="s">
        <v>616</v>
      </c>
      <c r="L70" s="10" t="s">
        <v>92</v>
      </c>
      <c r="M70" s="4"/>
    </row>
    <row r="71" customFormat="false" ht="23.85" hidden="false" customHeight="false" outlineLevel="0" collapsed="false">
      <c r="A71" s="5" t="s">
        <v>617</v>
      </c>
      <c r="B71" s="16" t="n">
        <f aca="false">Referencias!$C$293</f>
        <v>1</v>
      </c>
      <c r="C71" s="6" t="n">
        <f aca="false">Referencias!$C$114/100</f>
        <v>0.5</v>
      </c>
      <c r="D71" s="6" t="n">
        <f aca="false">Referencias!$C$113/100</f>
        <v>0.585</v>
      </c>
      <c r="E71" s="6" t="n">
        <f aca="false">Referencias!$C$115/100</f>
        <v>1</v>
      </c>
      <c r="F71" s="6" t="n">
        <f aca="false">B71*C71*D71</f>
        <v>0.2925</v>
      </c>
      <c r="G71" s="5"/>
      <c r="H71" s="5" t="s">
        <v>618</v>
      </c>
      <c r="I71" s="5" t="s">
        <v>619</v>
      </c>
      <c r="J71" s="17" t="s">
        <v>160</v>
      </c>
      <c r="K71" s="5" t="s">
        <v>616</v>
      </c>
      <c r="L71" s="17" t="s">
        <v>92</v>
      </c>
      <c r="M71" s="18" t="s">
        <v>529</v>
      </c>
    </row>
    <row r="72" customFormat="false" ht="15" hidden="false" customHeight="false" outlineLevel="0" collapsed="false">
      <c r="A72" s="11" t="s">
        <v>512</v>
      </c>
      <c r="B72" s="12" t="n">
        <f aca="false">Referencias!$C$295</f>
        <v>1</v>
      </c>
      <c r="C72" s="13" t="n">
        <f aca="false">Referencias!$C$15/1000</f>
        <v>1</v>
      </c>
      <c r="D72" s="13" t="n">
        <f aca="false">Referencias!$C$14/1000</f>
        <v>1.2</v>
      </c>
      <c r="E72" s="15" t="s">
        <v>119</v>
      </c>
      <c r="F72" s="13" t="n">
        <f aca="false">B72*C72*D72</f>
        <v>1.2</v>
      </c>
      <c r="G72" s="11" t="s">
        <v>513</v>
      </c>
      <c r="H72" s="11" t="s">
        <v>620</v>
      </c>
      <c r="I72" s="11" t="s">
        <v>515</v>
      </c>
      <c r="J72" s="14" t="s">
        <v>92</v>
      </c>
      <c r="K72" s="11" t="s">
        <v>621</v>
      </c>
      <c r="L72" s="14" t="s">
        <v>92</v>
      </c>
      <c r="M72" s="15" t="s">
        <v>517</v>
      </c>
    </row>
    <row r="74" customFormat="false" ht="15" hidden="false" customHeight="false" outlineLevel="0" collapsed="false">
      <c r="A74" s="4" t="s">
        <v>65</v>
      </c>
      <c r="B74" s="19" t="n">
        <f aca="false">Referencias!$C$296</f>
        <v>1</v>
      </c>
      <c r="C74" s="4"/>
      <c r="D74" s="4"/>
      <c r="E74" s="4"/>
      <c r="F74" s="9" t="n">
        <f aca="false">SUM(F75:F76)</f>
        <v>1.2</v>
      </c>
      <c r="G74" s="4" t="str">
        <f aca="false">"máquinas · turnos: "&amp;Referencias!$C$297</f>
        <v>máquinas · turnos: 1</v>
      </c>
      <c r="H74" s="4" t="s">
        <v>622</v>
      </c>
      <c r="I74" s="4"/>
      <c r="J74" s="4"/>
      <c r="K74" s="4" t="s">
        <v>623</v>
      </c>
      <c r="L74" s="10" t="s">
        <v>92</v>
      </c>
      <c r="M74" s="4"/>
    </row>
    <row r="75" customFormat="false" ht="15" hidden="false" customHeight="false" outlineLevel="0" collapsed="false">
      <c r="A75" s="5" t="s">
        <v>624</v>
      </c>
      <c r="B75" s="16" t="n">
        <f aca="false">Referencias!$C$296</f>
        <v>1</v>
      </c>
      <c r="C75" s="18" t="s">
        <v>119</v>
      </c>
      <c r="D75" s="18" t="s">
        <v>119</v>
      </c>
      <c r="E75" s="18" t="s">
        <v>119</v>
      </c>
      <c r="G75" s="5"/>
      <c r="H75" s="5" t="s">
        <v>625</v>
      </c>
      <c r="K75" s="5" t="s">
        <v>623</v>
      </c>
      <c r="L75" s="17" t="s">
        <v>92</v>
      </c>
      <c r="M75" s="18" t="s">
        <v>207</v>
      </c>
    </row>
    <row r="76" customFormat="false" ht="15" hidden="false" customHeight="false" outlineLevel="0" collapsed="false">
      <c r="A76" s="11" t="s">
        <v>512</v>
      </c>
      <c r="B76" s="12" t="n">
        <f aca="false">Referencias!$C$298</f>
        <v>1</v>
      </c>
      <c r="C76" s="13" t="n">
        <f aca="false">Referencias!$C$15/1000</f>
        <v>1</v>
      </c>
      <c r="D76" s="13" t="n">
        <f aca="false">Referencias!$C$14/1000</f>
        <v>1.2</v>
      </c>
      <c r="E76" s="15" t="s">
        <v>119</v>
      </c>
      <c r="F76" s="13" t="n">
        <f aca="false">B76*C76*D76</f>
        <v>1.2</v>
      </c>
      <c r="G76" s="11" t="s">
        <v>513</v>
      </c>
      <c r="H76" s="11" t="s">
        <v>626</v>
      </c>
      <c r="I76" s="11" t="s">
        <v>515</v>
      </c>
      <c r="J76" s="14" t="s">
        <v>92</v>
      </c>
      <c r="K76" s="11" t="s">
        <v>627</v>
      </c>
      <c r="L76" s="14" t="s">
        <v>92</v>
      </c>
      <c r="M76" s="15" t="s">
        <v>517</v>
      </c>
    </row>
    <row r="78" customFormat="false" ht="15" hidden="false" customHeight="false" outlineLevel="0" collapsed="false">
      <c r="A78" s="4" t="s">
        <v>66</v>
      </c>
      <c r="B78" s="19" t="n">
        <f aca="false">Referencias!$C$299</f>
        <v>1</v>
      </c>
      <c r="C78" s="4"/>
      <c r="D78" s="4"/>
      <c r="E78" s="4"/>
      <c r="F78" s="9" t="n">
        <f aca="false">SUM(F79:F80)</f>
        <v>1.2</v>
      </c>
      <c r="G78" s="4" t="str">
        <f aca="false">"máquinas · turnos: "&amp;Referencias!$C$300</f>
        <v>máquinas · turnos: 1</v>
      </c>
      <c r="H78" s="4" t="s">
        <v>628</v>
      </c>
      <c r="I78" s="4"/>
      <c r="J78" s="4"/>
      <c r="K78" s="4" t="s">
        <v>629</v>
      </c>
      <c r="L78" s="10" t="s">
        <v>92</v>
      </c>
      <c r="M78" s="4"/>
    </row>
    <row r="79" customFormat="false" ht="15" hidden="false" customHeight="false" outlineLevel="0" collapsed="false">
      <c r="A79" s="5" t="s">
        <v>630</v>
      </c>
      <c r="B79" s="16" t="n">
        <f aca="false">Referencias!$C$299</f>
        <v>1</v>
      </c>
      <c r="C79" s="18" t="s">
        <v>119</v>
      </c>
      <c r="D79" s="18" t="s">
        <v>119</v>
      </c>
      <c r="E79" s="18" t="s">
        <v>119</v>
      </c>
      <c r="G79" s="5"/>
      <c r="H79" s="5" t="s">
        <v>631</v>
      </c>
      <c r="K79" s="5" t="s">
        <v>629</v>
      </c>
      <c r="L79" s="17" t="s">
        <v>92</v>
      </c>
      <c r="M79" s="18" t="s">
        <v>207</v>
      </c>
    </row>
    <row r="80" customFormat="false" ht="15" hidden="false" customHeight="false" outlineLevel="0" collapsed="false">
      <c r="A80" s="11" t="s">
        <v>512</v>
      </c>
      <c r="B80" s="12" t="n">
        <f aca="false">Referencias!$C$301</f>
        <v>1</v>
      </c>
      <c r="C80" s="13" t="n">
        <f aca="false">Referencias!$C$15/1000</f>
        <v>1</v>
      </c>
      <c r="D80" s="13" t="n">
        <f aca="false">Referencias!$C$14/1000</f>
        <v>1.2</v>
      </c>
      <c r="E80" s="15" t="s">
        <v>119</v>
      </c>
      <c r="F80" s="13" t="n">
        <f aca="false">B80*C80*D80</f>
        <v>1.2</v>
      </c>
      <c r="G80" s="11" t="s">
        <v>513</v>
      </c>
      <c r="H80" s="11" t="s">
        <v>632</v>
      </c>
      <c r="I80" s="11" t="s">
        <v>515</v>
      </c>
      <c r="J80" s="14" t="s">
        <v>92</v>
      </c>
      <c r="K80" s="11" t="s">
        <v>633</v>
      </c>
      <c r="L80" s="14" t="s">
        <v>92</v>
      </c>
      <c r="M80" s="15" t="s">
        <v>517</v>
      </c>
    </row>
    <row r="82" customFormat="false" ht="15" hidden="false" customHeight="false" outlineLevel="0" collapsed="false">
      <c r="A82" s="4" t="s">
        <v>67</v>
      </c>
      <c r="B82" s="19" t="n">
        <f aca="false">Referencias!$C$302</f>
        <v>2</v>
      </c>
      <c r="C82" s="4"/>
      <c r="D82" s="4"/>
      <c r="E82" s="4"/>
      <c r="F82" s="9" t="n">
        <f aca="false">SUM(F83:F84)</f>
        <v>6</v>
      </c>
      <c r="G82" s="4" t="str">
        <f aca="false">"máquinas · turnos: "&amp;Referencias!$C$303</f>
        <v>máquinas · turnos: 1</v>
      </c>
      <c r="H82" s="4" t="s">
        <v>634</v>
      </c>
      <c r="I82" s="4"/>
      <c r="J82" s="4"/>
      <c r="K82" s="4" t="s">
        <v>635</v>
      </c>
      <c r="L82" s="10" t="s">
        <v>92</v>
      </c>
      <c r="M82" s="4"/>
    </row>
    <row r="83" customFormat="false" ht="23.85" hidden="false" customHeight="false" outlineLevel="0" collapsed="false">
      <c r="A83" s="5" t="s">
        <v>380</v>
      </c>
      <c r="B83" s="16" t="n">
        <f aca="false">Referencias!$C$302</f>
        <v>2</v>
      </c>
      <c r="C83" s="6" t="n">
        <f aca="false">Referencias!$C$65/1000</f>
        <v>1</v>
      </c>
      <c r="D83" s="6" t="n">
        <f aca="false">Referencias!$C$64/1000</f>
        <v>1.8</v>
      </c>
      <c r="E83" s="6" t="n">
        <f aca="false">Referencias!$C$66/1000</f>
        <v>0.9</v>
      </c>
      <c r="F83" s="6" t="n">
        <f aca="false">B83*C83*D83</f>
        <v>3.6</v>
      </c>
      <c r="G83" s="5"/>
      <c r="H83" s="5" t="s">
        <v>636</v>
      </c>
      <c r="I83" s="5" t="s">
        <v>383</v>
      </c>
      <c r="J83" s="17" t="s">
        <v>357</v>
      </c>
      <c r="K83" s="5" t="s">
        <v>635</v>
      </c>
      <c r="L83" s="17" t="s">
        <v>92</v>
      </c>
      <c r="M83" s="18" t="s">
        <v>529</v>
      </c>
    </row>
    <row r="84" customFormat="false" ht="15" hidden="false" customHeight="false" outlineLevel="0" collapsed="false">
      <c r="A84" s="11" t="s">
        <v>512</v>
      </c>
      <c r="B84" s="12" t="n">
        <f aca="false">Referencias!$C$304</f>
        <v>2</v>
      </c>
      <c r="C84" s="13" t="n">
        <f aca="false">Referencias!$C$15/1000</f>
        <v>1</v>
      </c>
      <c r="D84" s="13" t="n">
        <f aca="false">Referencias!$C$14/1000</f>
        <v>1.2</v>
      </c>
      <c r="E84" s="15" t="s">
        <v>119</v>
      </c>
      <c r="F84" s="13" t="n">
        <f aca="false">B84*C84*D84</f>
        <v>2.4</v>
      </c>
      <c r="G84" s="11" t="s">
        <v>513</v>
      </c>
      <c r="H84" s="11" t="s">
        <v>637</v>
      </c>
      <c r="I84" s="11" t="s">
        <v>515</v>
      </c>
      <c r="J84" s="14" t="s">
        <v>92</v>
      </c>
      <c r="K84" s="11" t="s">
        <v>638</v>
      </c>
      <c r="L84" s="14" t="s">
        <v>92</v>
      </c>
      <c r="M84" s="15" t="s">
        <v>517</v>
      </c>
    </row>
    <row r="86" customFormat="false" ht="15" hidden="false" customHeight="false" outlineLevel="0" collapsed="false">
      <c r="A86" s="4" t="s">
        <v>68</v>
      </c>
      <c r="B86" s="19" t="n">
        <f aca="false">Referencias!$C$305</f>
        <v>2</v>
      </c>
      <c r="C86" s="4"/>
      <c r="D86" s="4"/>
      <c r="E86" s="4"/>
      <c r="F86" s="9" t="n">
        <f aca="false">SUM(F87:F88)</f>
        <v>1.2</v>
      </c>
      <c r="G86" s="4" t="str">
        <f aca="false">"máquinas · turnos: "&amp;Referencias!$C$306</f>
        <v>máquinas · turnos: 2</v>
      </c>
      <c r="H86" s="4" t="s">
        <v>639</v>
      </c>
      <c r="I86" s="4"/>
      <c r="J86" s="4"/>
      <c r="K86" s="4" t="s">
        <v>640</v>
      </c>
      <c r="L86" s="10" t="s">
        <v>92</v>
      </c>
      <c r="M86" s="4"/>
    </row>
    <row r="87" customFormat="false" ht="15" hidden="false" customHeight="false" outlineLevel="0" collapsed="false">
      <c r="A87" s="5" t="s">
        <v>641</v>
      </c>
      <c r="B87" s="16" t="n">
        <f aca="false">Referencias!$C$305</f>
        <v>2</v>
      </c>
      <c r="C87" s="18" t="s">
        <v>119</v>
      </c>
      <c r="D87" s="18" t="s">
        <v>119</v>
      </c>
      <c r="E87" s="18" t="s">
        <v>119</v>
      </c>
      <c r="G87" s="5"/>
      <c r="H87" s="5" t="s">
        <v>642</v>
      </c>
      <c r="K87" s="5" t="s">
        <v>640</v>
      </c>
      <c r="L87" s="17" t="s">
        <v>92</v>
      </c>
      <c r="M87" s="18" t="s">
        <v>207</v>
      </c>
    </row>
    <row r="88" customFormat="false" ht="15" hidden="false" customHeight="false" outlineLevel="0" collapsed="false">
      <c r="A88" s="11" t="s">
        <v>512</v>
      </c>
      <c r="B88" s="12" t="n">
        <f aca="false">Referencias!$C$307</f>
        <v>1</v>
      </c>
      <c r="C88" s="13" t="n">
        <f aca="false">Referencias!$C$15/1000</f>
        <v>1</v>
      </c>
      <c r="D88" s="13" t="n">
        <f aca="false">Referencias!$C$14/1000</f>
        <v>1.2</v>
      </c>
      <c r="E88" s="15" t="s">
        <v>119</v>
      </c>
      <c r="F88" s="13" t="n">
        <f aca="false">B88*C88*D88</f>
        <v>1.2</v>
      </c>
      <c r="G88" s="11" t="s">
        <v>513</v>
      </c>
      <c r="H88" s="11" t="s">
        <v>643</v>
      </c>
      <c r="I88" s="11" t="s">
        <v>515</v>
      </c>
      <c r="J88" s="14" t="s">
        <v>92</v>
      </c>
      <c r="K88" s="11" t="s">
        <v>644</v>
      </c>
      <c r="L88" s="14" t="s">
        <v>92</v>
      </c>
      <c r="M88" s="15" t="s">
        <v>517</v>
      </c>
    </row>
    <row r="90" customFormat="false" ht="15" hidden="false" customHeight="false" outlineLevel="0" collapsed="false">
      <c r="A90" s="4" t="s">
        <v>69</v>
      </c>
      <c r="B90" s="19" t="n">
        <f aca="false">Referencias!$C$308</f>
        <v>1</v>
      </c>
      <c r="C90" s="4"/>
      <c r="D90" s="4"/>
      <c r="E90" s="4"/>
      <c r="F90" s="9" t="n">
        <f aca="false">SUM(F91:F92)</f>
        <v>1.2</v>
      </c>
      <c r="G90" s="4" t="str">
        <f aca="false">"máquinas · turnos: "&amp;Referencias!$C$309</f>
        <v>máquinas · turnos: 1</v>
      </c>
      <c r="H90" s="4" t="s">
        <v>645</v>
      </c>
      <c r="I90" s="4"/>
      <c r="J90" s="4"/>
      <c r="K90" s="4" t="s">
        <v>646</v>
      </c>
      <c r="L90" s="10" t="s">
        <v>92</v>
      </c>
      <c r="M90" s="4"/>
    </row>
    <row r="91" customFormat="false" ht="15" hidden="false" customHeight="false" outlineLevel="0" collapsed="false">
      <c r="A91" s="5" t="s">
        <v>647</v>
      </c>
      <c r="B91" s="16" t="n">
        <f aca="false">Referencias!$C$308</f>
        <v>1</v>
      </c>
      <c r="C91" s="18" t="s">
        <v>119</v>
      </c>
      <c r="D91" s="18" t="s">
        <v>119</v>
      </c>
      <c r="E91" s="18" t="s">
        <v>119</v>
      </c>
      <c r="G91" s="5"/>
      <c r="H91" s="5" t="s">
        <v>648</v>
      </c>
      <c r="K91" s="5" t="s">
        <v>646</v>
      </c>
      <c r="L91" s="17" t="s">
        <v>92</v>
      </c>
      <c r="M91" s="18" t="s">
        <v>207</v>
      </c>
    </row>
    <row r="92" customFormat="false" ht="15" hidden="false" customHeight="false" outlineLevel="0" collapsed="false">
      <c r="A92" s="11" t="s">
        <v>512</v>
      </c>
      <c r="B92" s="12" t="n">
        <f aca="false">Referencias!$C$310</f>
        <v>1</v>
      </c>
      <c r="C92" s="13" t="n">
        <f aca="false">Referencias!$C$15/1000</f>
        <v>1</v>
      </c>
      <c r="D92" s="13" t="n">
        <f aca="false">Referencias!$C$14/1000</f>
        <v>1.2</v>
      </c>
      <c r="E92" s="15" t="s">
        <v>119</v>
      </c>
      <c r="F92" s="13" t="n">
        <f aca="false">B92*C92*D92</f>
        <v>1.2</v>
      </c>
      <c r="G92" s="11" t="s">
        <v>513</v>
      </c>
      <c r="H92" s="11" t="s">
        <v>649</v>
      </c>
      <c r="I92" s="11" t="s">
        <v>515</v>
      </c>
      <c r="J92" s="14" t="s">
        <v>92</v>
      </c>
      <c r="K92" s="11" t="s">
        <v>650</v>
      </c>
      <c r="L92" s="14" t="s">
        <v>92</v>
      </c>
      <c r="M92" s="15" t="s">
        <v>517</v>
      </c>
    </row>
    <row r="94" customFormat="false" ht="15" hidden="false" customHeight="false" outlineLevel="0" collapsed="false">
      <c r="A94" s="4" t="s">
        <v>70</v>
      </c>
      <c r="B94" s="19" t="n">
        <f aca="false">Referencias!$C$311</f>
        <v>1</v>
      </c>
      <c r="C94" s="4"/>
      <c r="D94" s="4"/>
      <c r="E94" s="4"/>
      <c r="F94" s="9" t="n">
        <f aca="false">SUM(F95:F96)</f>
        <v>1.2</v>
      </c>
      <c r="G94" s="4" t="str">
        <f aca="false">"máquinas · turnos: "&amp;Referencias!$C$312</f>
        <v>máquinas · turnos: 1</v>
      </c>
      <c r="H94" s="4" t="s">
        <v>651</v>
      </c>
      <c r="I94" s="4"/>
      <c r="J94" s="4"/>
      <c r="K94" s="4" t="s">
        <v>652</v>
      </c>
      <c r="L94" s="10" t="s">
        <v>92</v>
      </c>
      <c r="M94" s="4"/>
    </row>
    <row r="95" customFormat="false" ht="15" hidden="false" customHeight="false" outlineLevel="0" collapsed="false">
      <c r="A95" s="5" t="s">
        <v>653</v>
      </c>
      <c r="B95" s="16" t="n">
        <f aca="false">Referencias!$C$311</f>
        <v>1</v>
      </c>
      <c r="C95" s="18" t="s">
        <v>119</v>
      </c>
      <c r="D95" s="18" t="s">
        <v>119</v>
      </c>
      <c r="E95" s="18" t="s">
        <v>119</v>
      </c>
      <c r="G95" s="5"/>
      <c r="H95" s="5" t="s">
        <v>654</v>
      </c>
      <c r="K95" s="5" t="s">
        <v>652</v>
      </c>
      <c r="L95" s="17" t="s">
        <v>92</v>
      </c>
      <c r="M95" s="18" t="s">
        <v>207</v>
      </c>
    </row>
    <row r="96" customFormat="false" ht="15" hidden="false" customHeight="false" outlineLevel="0" collapsed="false">
      <c r="A96" s="11" t="s">
        <v>512</v>
      </c>
      <c r="B96" s="12" t="n">
        <f aca="false">Referencias!$C$313</f>
        <v>1</v>
      </c>
      <c r="C96" s="13" t="n">
        <f aca="false">Referencias!$C$15/1000</f>
        <v>1</v>
      </c>
      <c r="D96" s="13" t="n">
        <f aca="false">Referencias!$C$14/1000</f>
        <v>1.2</v>
      </c>
      <c r="E96" s="15" t="s">
        <v>119</v>
      </c>
      <c r="F96" s="13" t="n">
        <f aca="false">B96*C96*D96</f>
        <v>1.2</v>
      </c>
      <c r="G96" s="11" t="s">
        <v>513</v>
      </c>
      <c r="H96" s="11" t="s">
        <v>655</v>
      </c>
      <c r="I96" s="11" t="s">
        <v>515</v>
      </c>
      <c r="J96" s="14" t="s">
        <v>92</v>
      </c>
      <c r="K96" s="11" t="s">
        <v>656</v>
      </c>
      <c r="L96" s="14" t="s">
        <v>92</v>
      </c>
      <c r="M96" s="15" t="s">
        <v>517</v>
      </c>
    </row>
    <row r="98" customFormat="false" ht="15" hidden="false" customHeight="false" outlineLevel="0" collapsed="false">
      <c r="A98" s="4" t="s">
        <v>71</v>
      </c>
      <c r="B98" s="4"/>
      <c r="C98" s="4"/>
      <c r="D98" s="4"/>
      <c r="E98" s="4"/>
      <c r="F98" s="9" t="n">
        <f aca="false">SUM(F99:F100)</f>
        <v>24</v>
      </c>
      <c r="G98" s="4"/>
      <c r="H98" s="4"/>
      <c r="I98" s="4"/>
      <c r="J98" s="4"/>
      <c r="K98" s="4"/>
      <c r="L98" s="4"/>
      <c r="M98" s="4"/>
    </row>
    <row r="99" customFormat="false" ht="15" hidden="false" customHeight="false" outlineLevel="0" collapsed="false">
      <c r="A99" s="5" t="s">
        <v>657</v>
      </c>
      <c r="B99" s="16" t="n">
        <f aca="false">Referencias!$C$314</f>
        <v>10</v>
      </c>
      <c r="C99" s="6" t="n">
        <f aca="false">Referencias!$C$15/1000</f>
        <v>1</v>
      </c>
      <c r="D99" s="6" t="n">
        <f aca="false">Referencias!$C$14/1000</f>
        <v>1.2</v>
      </c>
      <c r="E99" s="18" t="s">
        <v>119</v>
      </c>
      <c r="F99" s="6" t="n">
        <f aca="false">B99*C99*D99</f>
        <v>12</v>
      </c>
      <c r="G99" s="5" t="s">
        <v>658</v>
      </c>
      <c r="H99" s="5" t="s">
        <v>659</v>
      </c>
      <c r="I99" s="5" t="s">
        <v>515</v>
      </c>
      <c r="J99" s="17" t="s">
        <v>92</v>
      </c>
      <c r="K99" s="5" t="s">
        <v>660</v>
      </c>
      <c r="L99" s="17" t="s">
        <v>92</v>
      </c>
      <c r="M99" s="18" t="s">
        <v>517</v>
      </c>
    </row>
    <row r="100" customFormat="false" ht="15" hidden="false" customHeight="false" outlineLevel="0" collapsed="false">
      <c r="A100" s="11" t="s">
        <v>661</v>
      </c>
      <c r="B100" s="12" t="n">
        <f aca="false">Referencias!$C$316</f>
        <v>10</v>
      </c>
      <c r="C100" s="13" t="n">
        <f aca="false">Referencias!$C$15/1000</f>
        <v>1</v>
      </c>
      <c r="D100" s="13" t="n">
        <f aca="false">Referencias!$C$14/1000</f>
        <v>1.2</v>
      </c>
      <c r="E100" s="15" t="s">
        <v>119</v>
      </c>
      <c r="F100" s="13" t="n">
        <f aca="false">B100*C100*D100</f>
        <v>12</v>
      </c>
      <c r="G100" s="11" t="s">
        <v>658</v>
      </c>
      <c r="H100" s="11" t="s">
        <v>662</v>
      </c>
      <c r="I100" s="11" t="s">
        <v>515</v>
      </c>
      <c r="J100" s="14" t="s">
        <v>92</v>
      </c>
      <c r="K100" s="11" t="s">
        <v>663</v>
      </c>
      <c r="L100" s="14" t="s">
        <v>92</v>
      </c>
      <c r="M100" s="15" t="s">
        <v>517</v>
      </c>
    </row>
  </sheetData>
  <hyperlinks>
    <hyperlink ref="L5" r:id="rId1" display="https://drive.google.com/file/d/1SwGuppOSsaAXO29onhyWUH40O1h_4XmG/view"/>
    <hyperlink ref="L6" r:id="rId2" display="https://drive.google.com/file/d/1SwGuppOSsaAXO29onhyWUH40O1h_4XmG/view"/>
    <hyperlink ref="J7" r:id="rId3" display="https://drive.google.com/file/d/1SwGuppOSsaAXO29onhyWUH40O1h_4XmG/view"/>
    <hyperlink ref="L7" r:id="rId4" display="https://drive.google.com/file/d/1SwGuppOSsaAXO29onhyWUH40O1h_4XmG/view"/>
    <hyperlink ref="L9" r:id="rId5" display="https://drive.google.com/file/d/1SwGuppOSsaAXO29onhyWUH40O1h_4XmG/view"/>
    <hyperlink ref="L10" r:id="rId6" display="https://drive.google.com/file/d/1SwGuppOSsaAXO29onhyWUH40O1h_4XmG/view"/>
    <hyperlink ref="J11" r:id="rId7" display="https://drive.google.com/file/d/1SwGuppOSsaAXO29onhyWUH40O1h_4XmG/view"/>
    <hyperlink ref="L11" r:id="rId8" display="https://drive.google.com/file/d/1SwGuppOSsaAXO29onhyWUH40O1h_4XmG/view"/>
    <hyperlink ref="L13" r:id="rId9" display="https://drive.google.com/file/d/1SwGuppOSsaAXO29onhyWUH40O1h_4XmG/view"/>
    <hyperlink ref="J14" r:id="rId10" display="https://drive.google.com/file/d/1BvF9XAzfgpqw7VGH9EFjVisbBKNz9KFx/view"/>
    <hyperlink ref="L14" r:id="rId11" display="https://drive.google.com/file/d/1SwGuppOSsaAXO29onhyWUH40O1h_4XmG/view"/>
    <hyperlink ref="J15" r:id="rId12" display="https://drive.google.com/file/d/1SwGuppOSsaAXO29onhyWUH40O1h_4XmG/view"/>
    <hyperlink ref="L15" r:id="rId13" display="https://drive.google.com/file/d/1SwGuppOSsaAXO29onhyWUH40O1h_4XmG/view"/>
    <hyperlink ref="L17" r:id="rId14" display="https://drive.google.com/file/d/1SwGuppOSsaAXO29onhyWUH40O1h_4XmG/view"/>
    <hyperlink ref="L18" r:id="rId15" display="https://drive.google.com/file/d/1SwGuppOSsaAXO29onhyWUH40O1h_4XmG/view"/>
    <hyperlink ref="J19" r:id="rId16" display="https://drive.google.com/file/d/1SwGuppOSsaAXO29onhyWUH40O1h_4XmG/view"/>
    <hyperlink ref="L19" r:id="rId17" display="https://drive.google.com/file/d/1SwGuppOSsaAXO29onhyWUH40O1h_4XmG/view"/>
    <hyperlink ref="L21" r:id="rId18" display="https://drive.google.com/file/d/1SwGuppOSsaAXO29onhyWUH40O1h_4XmG/view"/>
    <hyperlink ref="J22" r:id="rId19" display="https://drive.google.com/file/d/1BvF9XAzfgpqw7VGH9EFjVisbBKNz9KFx/view"/>
    <hyperlink ref="L22" r:id="rId20" display="https://drive.google.com/file/d/1SwGuppOSsaAXO29onhyWUH40O1h_4XmG/view"/>
    <hyperlink ref="J23" r:id="rId21" display="https://drive.google.com/file/d/1SwGuppOSsaAXO29onhyWUH40O1h_4XmG/view"/>
    <hyperlink ref="L23" r:id="rId22" display="https://drive.google.com/file/d/1SwGuppOSsaAXO29onhyWUH40O1h_4XmG/view"/>
    <hyperlink ref="L25" r:id="rId23" display="https://drive.google.com/file/d/1SwGuppOSsaAXO29onhyWUH40O1h_4XmG/view"/>
    <hyperlink ref="J26" r:id="rId24" display="https://drive.google.com/file/d/1BvF9XAzfgpqw7VGH9EFjVisbBKNz9KFx/view"/>
    <hyperlink ref="L26" r:id="rId25" display="https://drive.google.com/file/d/1SwGuppOSsaAXO29onhyWUH40O1h_4XmG/view"/>
    <hyperlink ref="J27" r:id="rId26" display="https://drive.google.com/file/d/1SwGuppOSsaAXO29onhyWUH40O1h_4XmG/view"/>
    <hyperlink ref="L27" r:id="rId27" display="https://drive.google.com/file/d/1SwGuppOSsaAXO29onhyWUH40O1h_4XmG/view"/>
    <hyperlink ref="L29" r:id="rId28" display="https://drive.google.com/file/d/1SwGuppOSsaAXO29onhyWUH40O1h_4XmG/view"/>
    <hyperlink ref="L30" r:id="rId29" display="https://drive.google.com/file/d/1SwGuppOSsaAXO29onhyWUH40O1h_4XmG/view"/>
    <hyperlink ref="J31" r:id="rId30" display="https://drive.google.com/file/d/1SwGuppOSsaAXO29onhyWUH40O1h_4XmG/view"/>
    <hyperlink ref="L31" r:id="rId31" display="https://drive.google.com/file/d/1SwGuppOSsaAXO29onhyWUH40O1h_4XmG/view"/>
    <hyperlink ref="L33" r:id="rId32" display="https://drive.google.com/file/d/1SwGuppOSsaAXO29onhyWUH40O1h_4XmG/view"/>
    <hyperlink ref="L34" r:id="rId33" display="https://drive.google.com/file/d/1SwGuppOSsaAXO29onhyWUH40O1h_4XmG/view"/>
    <hyperlink ref="J35" r:id="rId34" display="https://drive.google.com/file/d/1SwGuppOSsaAXO29onhyWUH40O1h_4XmG/view"/>
    <hyperlink ref="L35" r:id="rId35" display="https://drive.google.com/file/d/1SwGuppOSsaAXO29onhyWUH40O1h_4XmG/view"/>
    <hyperlink ref="L37" r:id="rId36" display="https://drive.google.com/file/d/1SwGuppOSsaAXO29onhyWUH40O1h_4XmG/view"/>
    <hyperlink ref="L38" r:id="rId37" display="https://drive.google.com/file/d/1SwGuppOSsaAXO29onhyWUH40O1h_4XmG/view"/>
    <hyperlink ref="J39" r:id="rId38" display="https://drive.google.com/file/d/1SwGuppOSsaAXO29onhyWUH40O1h_4XmG/view"/>
    <hyperlink ref="L39" r:id="rId39" display="https://drive.google.com/file/d/1SwGuppOSsaAXO29onhyWUH40O1h_4XmG/view"/>
    <hyperlink ref="L41" r:id="rId40" display="https://drive.google.com/file/d/1SwGuppOSsaAXO29onhyWUH40O1h_4XmG/view"/>
    <hyperlink ref="L42" r:id="rId41" display="https://drive.google.com/file/d/1SwGuppOSsaAXO29onhyWUH40O1h_4XmG/view"/>
    <hyperlink ref="J43" r:id="rId42" display="https://drive.google.com/file/d/1SwGuppOSsaAXO29onhyWUH40O1h_4XmG/view"/>
    <hyperlink ref="L43" r:id="rId43" display="https://drive.google.com/file/d/1SwGuppOSsaAXO29onhyWUH40O1h_4XmG/view"/>
    <hyperlink ref="L45" r:id="rId44" display="https://drive.google.com/file/d/1SwGuppOSsaAXO29onhyWUH40O1h_4XmG/view"/>
    <hyperlink ref="J46" r:id="rId45" display="https://drive.google.com/file/d/1BvF9XAzfgpqw7VGH9EFjVisbBKNz9KFx/view"/>
    <hyperlink ref="L46" r:id="rId46" display="https://drive.google.com/file/d/1SwGuppOSsaAXO29onhyWUH40O1h_4XmG/view"/>
    <hyperlink ref="J47" r:id="rId47" display="https://drive.google.com/file/d/1BvF9XAzfgpqw7VGH9EFjVisbBKNz9KFx/view"/>
    <hyperlink ref="L47" r:id="rId48" display="https://drive.google.com/file/d/1SwGuppOSsaAXO29onhyWUH40O1h_4XmG/view"/>
    <hyperlink ref="J48" r:id="rId49" display="https://drive.google.com/file/d/1SwGuppOSsaAXO29onhyWUH40O1h_4XmG/view"/>
    <hyperlink ref="L48" r:id="rId50" display="https://drive.google.com/file/d/1SwGuppOSsaAXO29onhyWUH40O1h_4XmG/view"/>
    <hyperlink ref="L50" r:id="rId51" display="https://drive.google.com/file/d/1SwGuppOSsaAXO29onhyWUH40O1h_4XmG/view"/>
    <hyperlink ref="J51" r:id="rId52" display="https://drive.google.com/file/d/1BvF9XAzfgpqw7VGH9EFjVisbBKNz9KFx/view"/>
    <hyperlink ref="L51" r:id="rId53" display="https://drive.google.com/file/d/1SwGuppOSsaAXO29onhyWUH40O1h_4XmG/view"/>
    <hyperlink ref="J52" r:id="rId54" display="https://drive.google.com/file/d/1SwGuppOSsaAXO29onhyWUH40O1h_4XmG/view"/>
    <hyperlink ref="L52" r:id="rId55" display="https://drive.google.com/file/d/1SwGuppOSsaAXO29onhyWUH40O1h_4XmG/view"/>
    <hyperlink ref="L54" r:id="rId56" display="https://drive.google.com/file/d/1SwGuppOSsaAXO29onhyWUH40O1h_4XmG/view"/>
    <hyperlink ref="L55" r:id="rId57" display="https://drive.google.com/file/d/1SwGuppOSsaAXO29onhyWUH40O1h_4XmG/view"/>
    <hyperlink ref="J56" r:id="rId58" display="https://drive.google.com/file/d/1SwGuppOSsaAXO29onhyWUH40O1h_4XmG/view"/>
    <hyperlink ref="L56" r:id="rId59" display="https://drive.google.com/file/d/1SwGuppOSsaAXO29onhyWUH40O1h_4XmG/view"/>
    <hyperlink ref="L58" r:id="rId60" display="https://drive.google.com/file/d/1SwGuppOSsaAXO29onhyWUH40O1h_4XmG/view"/>
    <hyperlink ref="L59" r:id="rId61" display="https://drive.google.com/file/d/1SwGuppOSsaAXO29onhyWUH40O1h_4XmG/view"/>
    <hyperlink ref="J60" r:id="rId62" display="https://drive.google.com/file/d/1SwGuppOSsaAXO29onhyWUH40O1h_4XmG/view"/>
    <hyperlink ref="L60" r:id="rId63" display="https://drive.google.com/file/d/1SwGuppOSsaAXO29onhyWUH40O1h_4XmG/view"/>
    <hyperlink ref="L62" r:id="rId64" display="https://drive.google.com/file/d/1SwGuppOSsaAXO29onhyWUH40O1h_4XmG/view"/>
    <hyperlink ref="J63" r:id="rId65" display="https://drive.google.com/file/d/1EgGHDA3POFrFvroBTnP4I855u6ADRbJu/view"/>
    <hyperlink ref="L63" r:id="rId66" display="https://drive.google.com/file/d/1SwGuppOSsaAXO29onhyWUH40O1h_4XmG/view"/>
    <hyperlink ref="J64" r:id="rId67" display="https://drive.google.com/file/d/1SwGuppOSsaAXO29onhyWUH40O1h_4XmG/view"/>
    <hyperlink ref="L64" r:id="rId68" display="https://drive.google.com/file/d/1SwGuppOSsaAXO29onhyWUH40O1h_4XmG/view"/>
    <hyperlink ref="L66" r:id="rId69" display="https://drive.google.com/file/d/1SwGuppOSsaAXO29onhyWUH40O1h_4XmG/view"/>
    <hyperlink ref="J67" r:id="rId70" display="https://drive.google.com/file/d/1BvF9XAzfgpqw7VGH9EFjVisbBKNz9KFx/view"/>
    <hyperlink ref="L67" r:id="rId71" display="https://drive.google.com/file/d/1SwGuppOSsaAXO29onhyWUH40O1h_4XmG/view"/>
    <hyperlink ref="J68" r:id="rId72" display="https://drive.google.com/file/d/1SwGuppOSsaAXO29onhyWUH40O1h_4XmG/view"/>
    <hyperlink ref="L68" r:id="rId73" display="https://drive.google.com/file/d/1SwGuppOSsaAXO29onhyWUH40O1h_4XmG/view"/>
    <hyperlink ref="L70" r:id="rId74" display="https://drive.google.com/file/d/1SwGuppOSsaAXO29onhyWUH40O1h_4XmG/view"/>
    <hyperlink ref="J71" r:id="rId75" display="https://drive.google.com/file/d/1BvF9XAzfgpqw7VGH9EFjVisbBKNz9KFx/view"/>
    <hyperlink ref="L71" r:id="rId76" display="https://drive.google.com/file/d/1SwGuppOSsaAXO29onhyWUH40O1h_4XmG/view"/>
    <hyperlink ref="J72" r:id="rId77" display="https://drive.google.com/file/d/1SwGuppOSsaAXO29onhyWUH40O1h_4XmG/view"/>
    <hyperlink ref="L72" r:id="rId78" display="https://drive.google.com/file/d/1SwGuppOSsaAXO29onhyWUH40O1h_4XmG/view"/>
    <hyperlink ref="L74" r:id="rId79" display="https://drive.google.com/file/d/1SwGuppOSsaAXO29onhyWUH40O1h_4XmG/view"/>
    <hyperlink ref="L75" r:id="rId80" display="https://drive.google.com/file/d/1SwGuppOSsaAXO29onhyWUH40O1h_4XmG/view"/>
    <hyperlink ref="J76" r:id="rId81" display="https://drive.google.com/file/d/1SwGuppOSsaAXO29onhyWUH40O1h_4XmG/view"/>
    <hyperlink ref="L76" r:id="rId82" display="https://drive.google.com/file/d/1SwGuppOSsaAXO29onhyWUH40O1h_4XmG/view"/>
    <hyperlink ref="L78" r:id="rId83" display="https://drive.google.com/file/d/1SwGuppOSsaAXO29onhyWUH40O1h_4XmG/view"/>
    <hyperlink ref="L79" r:id="rId84" display="https://drive.google.com/file/d/1SwGuppOSsaAXO29onhyWUH40O1h_4XmG/view"/>
    <hyperlink ref="J80" r:id="rId85" display="https://drive.google.com/file/d/1SwGuppOSsaAXO29onhyWUH40O1h_4XmG/view"/>
    <hyperlink ref="L80" r:id="rId86" display="https://drive.google.com/file/d/1SwGuppOSsaAXO29onhyWUH40O1h_4XmG/view"/>
    <hyperlink ref="L82" r:id="rId87" display="https://drive.google.com/file/d/1SwGuppOSsaAXO29onhyWUH40O1h_4XmG/view"/>
    <hyperlink ref="J83" r:id="rId88" display="https://drive.google.com/file/d/1xN6cXKY00nOszWwFanDEHzmIV3x-bABC/view"/>
    <hyperlink ref="L83" r:id="rId89" display="https://drive.google.com/file/d/1SwGuppOSsaAXO29onhyWUH40O1h_4XmG/view"/>
    <hyperlink ref="J84" r:id="rId90" display="https://drive.google.com/file/d/1SwGuppOSsaAXO29onhyWUH40O1h_4XmG/view"/>
    <hyperlink ref="L84" r:id="rId91" display="https://drive.google.com/file/d/1SwGuppOSsaAXO29onhyWUH40O1h_4XmG/view"/>
    <hyperlink ref="L86" r:id="rId92" display="https://drive.google.com/file/d/1SwGuppOSsaAXO29onhyWUH40O1h_4XmG/view"/>
    <hyperlink ref="L87" r:id="rId93" display="https://drive.google.com/file/d/1SwGuppOSsaAXO29onhyWUH40O1h_4XmG/view"/>
    <hyperlink ref="J88" r:id="rId94" display="https://drive.google.com/file/d/1SwGuppOSsaAXO29onhyWUH40O1h_4XmG/view"/>
    <hyperlink ref="L88" r:id="rId95" display="https://drive.google.com/file/d/1SwGuppOSsaAXO29onhyWUH40O1h_4XmG/view"/>
    <hyperlink ref="L90" r:id="rId96" display="https://drive.google.com/file/d/1SwGuppOSsaAXO29onhyWUH40O1h_4XmG/view"/>
    <hyperlink ref="L91" r:id="rId97" display="https://drive.google.com/file/d/1SwGuppOSsaAXO29onhyWUH40O1h_4XmG/view"/>
    <hyperlink ref="J92" r:id="rId98" display="https://drive.google.com/file/d/1SwGuppOSsaAXO29onhyWUH40O1h_4XmG/view"/>
    <hyperlink ref="L92" r:id="rId99" display="https://drive.google.com/file/d/1SwGuppOSsaAXO29onhyWUH40O1h_4XmG/view"/>
    <hyperlink ref="L94" r:id="rId100" display="https://drive.google.com/file/d/1SwGuppOSsaAXO29onhyWUH40O1h_4XmG/view"/>
    <hyperlink ref="L95" r:id="rId101" display="https://drive.google.com/file/d/1SwGuppOSsaAXO29onhyWUH40O1h_4XmG/view"/>
    <hyperlink ref="J96" r:id="rId102" display="https://drive.google.com/file/d/1SwGuppOSsaAXO29onhyWUH40O1h_4XmG/view"/>
    <hyperlink ref="L96" r:id="rId103" display="https://drive.google.com/file/d/1SwGuppOSsaAXO29onhyWUH40O1h_4XmG/view"/>
    <hyperlink ref="J99" r:id="rId104" display="https://drive.google.com/file/d/1SwGuppOSsaAXO29onhyWUH40O1h_4XmG/view"/>
    <hyperlink ref="L99" r:id="rId105" display="https://drive.google.com/file/d/1SwGuppOSsaAXO29onhyWUH40O1h_4XmG/view"/>
    <hyperlink ref="J100" r:id="rId106" display="https://drive.google.com/file/d/1SwGuppOSsaAXO29onhyWUH40O1h_4XmG/view"/>
    <hyperlink ref="L100" r:id="rId107" display="https://drive.google.com/file/d/1SwGuppOSsaAXO29onhyWUH40O1h_4XmG/vie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0"/>
    <col collapsed="false" customWidth="true" hidden="false" outlineLevel="0" max="4" min="4" style="0" width="7"/>
    <col collapsed="false" customWidth="true" hidden="false" outlineLevel="0" max="5" min="5" style="0" width="42"/>
    <col collapsed="false" customWidth="true" hidden="false" outlineLevel="0" max="6" min="6" style="0" width="34"/>
    <col collapsed="false" customWidth="true" hidden="false" outlineLevel="0" max="7" min="7" style="0" width="70"/>
    <col collapsed="false" customWidth="true" hidden="false" outlineLevel="0" max="8" min="8" style="0" width="45"/>
  </cols>
  <sheetData>
    <row r="1" customFormat="false" ht="16.15" hidden="false" customHeight="false" outlineLevel="0" collapsed="false">
      <c r="A1" s="1" t="s">
        <v>664</v>
      </c>
    </row>
    <row r="2" customFormat="false" ht="15" hidden="false" customHeight="false" outlineLevel="0" collapsed="false">
      <c r="A2" s="2" t="s">
        <v>665</v>
      </c>
    </row>
    <row r="3" customFormat="false" ht="15" hidden="false" customHeight="false" outlineLevel="0" collapsed="false">
      <c r="A3" s="3" t="s">
        <v>666</v>
      </c>
      <c r="B3" s="3" t="s">
        <v>667</v>
      </c>
      <c r="C3" s="3" t="s">
        <v>668</v>
      </c>
      <c r="D3" s="3" t="s">
        <v>669</v>
      </c>
      <c r="E3" s="3" t="s">
        <v>670</v>
      </c>
      <c r="F3" s="3" t="s">
        <v>671</v>
      </c>
      <c r="G3" s="3" t="s">
        <v>672</v>
      </c>
      <c r="H3" s="3" t="s">
        <v>673</v>
      </c>
    </row>
    <row r="4" customFormat="false" ht="15" hidden="false" customHeight="false" outlineLevel="0" collapsed="false">
      <c r="A4" s="5" t="s">
        <v>674</v>
      </c>
      <c r="B4" s="5" t="s">
        <v>675</v>
      </c>
      <c r="C4" s="6" t="n">
        <v>1200</v>
      </c>
      <c r="D4" s="5" t="s">
        <v>676</v>
      </c>
      <c r="E4" s="5" t="s">
        <v>677</v>
      </c>
      <c r="F4" s="5" t="s">
        <v>678</v>
      </c>
      <c r="G4" s="5" t="s">
        <v>679</v>
      </c>
      <c r="H4" s="17" t="s">
        <v>116</v>
      </c>
    </row>
    <row r="5" customFormat="false" ht="15" hidden="false" customHeight="false" outlineLevel="0" collapsed="false">
      <c r="A5" s="5" t="s">
        <v>680</v>
      </c>
      <c r="B5" s="5" t="s">
        <v>681</v>
      </c>
      <c r="C5" s="6" t="n">
        <v>600</v>
      </c>
      <c r="D5" s="5" t="s">
        <v>676</v>
      </c>
      <c r="E5" s="5" t="s">
        <v>677</v>
      </c>
      <c r="F5" s="5" t="s">
        <v>682</v>
      </c>
      <c r="G5" s="5" t="s">
        <v>683</v>
      </c>
      <c r="H5" s="17" t="s">
        <v>116</v>
      </c>
    </row>
    <row r="6" customFormat="false" ht="15" hidden="false" customHeight="false" outlineLevel="0" collapsed="false">
      <c r="A6" s="5" t="s">
        <v>684</v>
      </c>
      <c r="B6" s="5" t="s">
        <v>685</v>
      </c>
      <c r="C6" s="6" t="n">
        <v>2000</v>
      </c>
      <c r="D6" s="5" t="s">
        <v>676</v>
      </c>
      <c r="E6" s="5" t="s">
        <v>677</v>
      </c>
      <c r="F6" s="5" t="s">
        <v>686</v>
      </c>
      <c r="G6" s="5" t="s">
        <v>687</v>
      </c>
      <c r="H6" s="17" t="s">
        <v>116</v>
      </c>
    </row>
    <row r="7" customFormat="false" ht="15" hidden="false" customHeight="false" outlineLevel="0" collapsed="false">
      <c r="A7" s="5" t="s">
        <v>688</v>
      </c>
      <c r="B7" s="5" t="s">
        <v>689</v>
      </c>
      <c r="C7" s="5" t="n">
        <v>1300</v>
      </c>
      <c r="D7" s="5" t="s">
        <v>676</v>
      </c>
      <c r="E7" s="5" t="s">
        <v>677</v>
      </c>
      <c r="F7" s="5" t="s">
        <v>690</v>
      </c>
      <c r="G7" s="5" t="s">
        <v>691</v>
      </c>
      <c r="H7" s="17" t="s">
        <v>116</v>
      </c>
    </row>
    <row r="8" customFormat="false" ht="15" hidden="false" customHeight="false" outlineLevel="0" collapsed="false">
      <c r="A8" s="5" t="s">
        <v>692</v>
      </c>
      <c r="B8" s="5" t="s">
        <v>693</v>
      </c>
      <c r="C8" s="5" t="n">
        <v>700</v>
      </c>
      <c r="D8" s="5" t="s">
        <v>676</v>
      </c>
      <c r="E8" s="5" t="s">
        <v>677</v>
      </c>
      <c r="F8" s="5" t="s">
        <v>690</v>
      </c>
      <c r="G8" s="5" t="s">
        <v>691</v>
      </c>
      <c r="H8" s="17" t="s">
        <v>116</v>
      </c>
    </row>
    <row r="9" customFormat="false" ht="23.85" hidden="false" customHeight="false" outlineLevel="0" collapsed="false">
      <c r="A9" s="5" t="s">
        <v>694</v>
      </c>
      <c r="B9" s="5" t="s">
        <v>695</v>
      </c>
      <c r="C9" s="5" t="n">
        <v>1</v>
      </c>
      <c r="D9" s="5" t="s">
        <v>426</v>
      </c>
      <c r="E9" s="5" t="s">
        <v>677</v>
      </c>
      <c r="F9" s="5" t="s">
        <v>696</v>
      </c>
      <c r="G9" s="5" t="s">
        <v>697</v>
      </c>
      <c r="H9" s="17" t="s">
        <v>116</v>
      </c>
    </row>
    <row r="10" customFormat="false" ht="15" hidden="false" customHeight="false" outlineLevel="0" collapsed="false">
      <c r="A10" s="5" t="s">
        <v>698</v>
      </c>
      <c r="B10" s="5" t="s">
        <v>699</v>
      </c>
      <c r="C10" s="6" t="n">
        <v>2.7</v>
      </c>
      <c r="D10" s="5" t="s">
        <v>700</v>
      </c>
      <c r="E10" s="5" t="s">
        <v>677</v>
      </c>
      <c r="F10" s="5" t="s">
        <v>701</v>
      </c>
      <c r="G10" s="5" t="s">
        <v>702</v>
      </c>
      <c r="H10" s="17" t="s">
        <v>116</v>
      </c>
    </row>
    <row r="11" customFormat="false" ht="15" hidden="false" customHeight="false" outlineLevel="0" collapsed="false">
      <c r="A11" s="5" t="s">
        <v>703</v>
      </c>
      <c r="B11" s="5" t="s">
        <v>704</v>
      </c>
      <c r="C11" s="6" t="n">
        <v>1.2</v>
      </c>
      <c r="D11" s="5" t="s">
        <v>700</v>
      </c>
      <c r="E11" s="5" t="s">
        <v>677</v>
      </c>
      <c r="F11" s="5" t="s">
        <v>705</v>
      </c>
      <c r="G11" s="5" t="s">
        <v>706</v>
      </c>
      <c r="H11" s="17" t="s">
        <v>116</v>
      </c>
    </row>
    <row r="12" customFormat="false" ht="15" hidden="false" customHeight="false" outlineLevel="0" collapsed="false">
      <c r="A12" s="5" t="s">
        <v>707</v>
      </c>
      <c r="B12" s="5" t="s">
        <v>708</v>
      </c>
      <c r="C12" s="5" t="n">
        <v>2</v>
      </c>
      <c r="D12" s="5" t="s">
        <v>709</v>
      </c>
      <c r="E12" s="5" t="s">
        <v>677</v>
      </c>
      <c r="F12" s="5" t="s">
        <v>710</v>
      </c>
      <c r="G12" s="5" t="s">
        <v>711</v>
      </c>
      <c r="H12" s="17" t="s">
        <v>116</v>
      </c>
    </row>
    <row r="13" customFormat="false" ht="15" hidden="false" customHeight="false" outlineLevel="0" collapsed="false">
      <c r="A13" s="5" t="s">
        <v>712</v>
      </c>
      <c r="B13" s="5" t="s">
        <v>713</v>
      </c>
      <c r="C13" s="6" t="n">
        <v>1.4</v>
      </c>
      <c r="D13" s="5" t="s">
        <v>714</v>
      </c>
      <c r="E13" s="5" t="s">
        <v>677</v>
      </c>
      <c r="F13" s="5" t="s">
        <v>715</v>
      </c>
      <c r="G13" s="5" t="s">
        <v>716</v>
      </c>
      <c r="H13" s="17" t="s">
        <v>116</v>
      </c>
    </row>
    <row r="14" customFormat="false" ht="15" hidden="false" customHeight="false" outlineLevel="0" collapsed="false">
      <c r="A14" s="5" t="s">
        <v>717</v>
      </c>
      <c r="B14" s="5" t="s">
        <v>718</v>
      </c>
      <c r="C14" s="5" t="n">
        <v>1200</v>
      </c>
      <c r="D14" s="5" t="s">
        <v>676</v>
      </c>
      <c r="E14" s="5" t="s">
        <v>719</v>
      </c>
      <c r="F14" s="5" t="s">
        <v>720</v>
      </c>
      <c r="G14" s="5" t="s">
        <v>721</v>
      </c>
      <c r="H14" s="17" t="s">
        <v>92</v>
      </c>
    </row>
    <row r="15" customFormat="false" ht="15" hidden="false" customHeight="false" outlineLevel="0" collapsed="false">
      <c r="A15" s="5" t="s">
        <v>722</v>
      </c>
      <c r="B15" s="5" t="s">
        <v>723</v>
      </c>
      <c r="C15" s="5" t="n">
        <v>1000</v>
      </c>
      <c r="D15" s="5" t="s">
        <v>676</v>
      </c>
      <c r="E15" s="5" t="s">
        <v>719</v>
      </c>
      <c r="F15" s="5" t="s">
        <v>720</v>
      </c>
      <c r="G15" s="5" t="s">
        <v>721</v>
      </c>
      <c r="H15" s="17" t="s">
        <v>92</v>
      </c>
    </row>
    <row r="16" customFormat="false" ht="15" hidden="false" customHeight="false" outlineLevel="0" collapsed="false">
      <c r="A16" s="5" t="s">
        <v>724</v>
      </c>
      <c r="B16" s="5" t="s">
        <v>725</v>
      </c>
      <c r="C16" s="5" t="n">
        <v>1</v>
      </c>
      <c r="D16" s="5" t="s">
        <v>709</v>
      </c>
      <c r="E16" s="5" t="s">
        <v>726</v>
      </c>
      <c r="F16" s="5" t="s">
        <v>727</v>
      </c>
      <c r="G16" s="5" t="s">
        <v>728</v>
      </c>
      <c r="H16" s="5"/>
    </row>
    <row r="17" customFormat="false" ht="23.85" hidden="false" customHeight="false" outlineLevel="0" collapsed="false">
      <c r="A17" s="5" t="s">
        <v>729</v>
      </c>
      <c r="B17" s="5" t="s">
        <v>730</v>
      </c>
      <c r="C17" s="5" t="n">
        <v>3395</v>
      </c>
      <c r="D17" s="5" t="s">
        <v>676</v>
      </c>
      <c r="E17" s="5" t="s">
        <v>731</v>
      </c>
      <c r="F17" s="5" t="s">
        <v>732</v>
      </c>
      <c r="G17" s="5" t="s">
        <v>733</v>
      </c>
      <c r="H17" s="17" t="s">
        <v>98</v>
      </c>
    </row>
    <row r="18" customFormat="false" ht="23.85" hidden="false" customHeight="false" outlineLevel="0" collapsed="false">
      <c r="A18" s="5" t="s">
        <v>734</v>
      </c>
      <c r="B18" s="5" t="s">
        <v>735</v>
      </c>
      <c r="C18" s="5" t="n">
        <v>1880</v>
      </c>
      <c r="D18" s="5" t="s">
        <v>676</v>
      </c>
      <c r="E18" s="5" t="s">
        <v>731</v>
      </c>
      <c r="F18" s="5" t="s">
        <v>732</v>
      </c>
      <c r="G18" s="5" t="s">
        <v>733</v>
      </c>
      <c r="H18" s="17" t="s">
        <v>98</v>
      </c>
    </row>
    <row r="19" customFormat="false" ht="23.85" hidden="false" customHeight="false" outlineLevel="0" collapsed="false">
      <c r="A19" s="5" t="s">
        <v>736</v>
      </c>
      <c r="B19" s="5" t="s">
        <v>737</v>
      </c>
      <c r="C19" s="5" t="n">
        <v>1550</v>
      </c>
      <c r="D19" s="5" t="s">
        <v>676</v>
      </c>
      <c r="E19" s="5" t="s">
        <v>731</v>
      </c>
      <c r="F19" s="5" t="s">
        <v>732</v>
      </c>
      <c r="G19" s="5" t="s">
        <v>733</v>
      </c>
      <c r="H19" s="17" t="s">
        <v>98</v>
      </c>
    </row>
    <row r="20" customFormat="false" ht="15" hidden="false" customHeight="false" outlineLevel="0" collapsed="false">
      <c r="A20" s="5" t="s">
        <v>738</v>
      </c>
      <c r="B20" s="5" t="s">
        <v>739</v>
      </c>
      <c r="C20" s="5" t="n">
        <v>3100</v>
      </c>
      <c r="D20" s="5" t="s">
        <v>676</v>
      </c>
      <c r="E20" s="5" t="s">
        <v>740</v>
      </c>
      <c r="F20" s="5" t="s">
        <v>741</v>
      </c>
      <c r="G20" s="5" t="s">
        <v>742</v>
      </c>
      <c r="H20" s="17" t="s">
        <v>107</v>
      </c>
    </row>
    <row r="21" customFormat="false" ht="15" hidden="false" customHeight="false" outlineLevel="0" collapsed="false">
      <c r="A21" s="5" t="s">
        <v>743</v>
      </c>
      <c r="B21" s="5" t="s">
        <v>744</v>
      </c>
      <c r="C21" s="5" t="n">
        <v>1620</v>
      </c>
      <c r="D21" s="5" t="s">
        <v>676</v>
      </c>
      <c r="E21" s="5" t="s">
        <v>740</v>
      </c>
      <c r="F21" s="5" t="s">
        <v>741</v>
      </c>
      <c r="G21" s="5" t="s">
        <v>742</v>
      </c>
      <c r="H21" s="17" t="s">
        <v>107</v>
      </c>
    </row>
    <row r="22" customFormat="false" ht="15" hidden="false" customHeight="false" outlineLevel="0" collapsed="false">
      <c r="A22" s="5" t="s">
        <v>745</v>
      </c>
      <c r="B22" s="5" t="s">
        <v>746</v>
      </c>
      <c r="C22" s="5" t="n">
        <v>1600</v>
      </c>
      <c r="D22" s="5" t="s">
        <v>676</v>
      </c>
      <c r="E22" s="5" t="s">
        <v>740</v>
      </c>
      <c r="F22" s="5" t="s">
        <v>741</v>
      </c>
      <c r="G22" s="5" t="s">
        <v>742</v>
      </c>
      <c r="H22" s="17" t="s">
        <v>107</v>
      </c>
    </row>
    <row r="23" customFormat="false" ht="23.85" hidden="false" customHeight="false" outlineLevel="0" collapsed="false">
      <c r="A23" s="5" t="s">
        <v>747</v>
      </c>
      <c r="B23" s="5" t="s">
        <v>748</v>
      </c>
      <c r="C23" s="5" t="n">
        <v>1600</v>
      </c>
      <c r="D23" s="5" t="s">
        <v>676</v>
      </c>
      <c r="E23" s="5" t="s">
        <v>749</v>
      </c>
      <c r="F23" s="5" t="s">
        <v>732</v>
      </c>
      <c r="G23" s="5" t="s">
        <v>750</v>
      </c>
      <c r="H23" s="17" t="s">
        <v>176</v>
      </c>
    </row>
    <row r="24" customFormat="false" ht="23.85" hidden="false" customHeight="false" outlineLevel="0" collapsed="false">
      <c r="A24" s="5" t="s">
        <v>751</v>
      </c>
      <c r="B24" s="5" t="s">
        <v>752</v>
      </c>
      <c r="C24" s="5" t="n">
        <v>1300</v>
      </c>
      <c r="D24" s="5" t="s">
        <v>676</v>
      </c>
      <c r="E24" s="5" t="s">
        <v>749</v>
      </c>
      <c r="F24" s="5" t="s">
        <v>732</v>
      </c>
      <c r="G24" s="5" t="s">
        <v>750</v>
      </c>
      <c r="H24" s="17" t="s">
        <v>176</v>
      </c>
    </row>
    <row r="25" customFormat="false" ht="23.85" hidden="false" customHeight="false" outlineLevel="0" collapsed="false">
      <c r="A25" s="5" t="s">
        <v>753</v>
      </c>
      <c r="B25" s="5" t="s">
        <v>754</v>
      </c>
      <c r="C25" s="5" t="n">
        <v>3320</v>
      </c>
      <c r="D25" s="5" t="s">
        <v>676</v>
      </c>
      <c r="E25" s="5" t="s">
        <v>749</v>
      </c>
      <c r="F25" s="5" t="s">
        <v>732</v>
      </c>
      <c r="G25" s="5" t="s">
        <v>750</v>
      </c>
      <c r="H25" s="17" t="s">
        <v>176</v>
      </c>
    </row>
    <row r="26" customFormat="false" ht="23.85" hidden="false" customHeight="false" outlineLevel="0" collapsed="false">
      <c r="A26" s="5" t="s">
        <v>755</v>
      </c>
      <c r="B26" s="5" t="s">
        <v>756</v>
      </c>
      <c r="C26" s="5" t="n">
        <v>2500</v>
      </c>
      <c r="D26" s="5" t="s">
        <v>676</v>
      </c>
      <c r="E26" s="5" t="s">
        <v>757</v>
      </c>
      <c r="F26" s="5" t="s">
        <v>758</v>
      </c>
      <c r="G26" s="5" t="s">
        <v>759</v>
      </c>
      <c r="H26" s="17" t="s">
        <v>114</v>
      </c>
    </row>
    <row r="27" customFormat="false" ht="23.85" hidden="false" customHeight="false" outlineLevel="0" collapsed="false">
      <c r="A27" s="5" t="s">
        <v>760</v>
      </c>
      <c r="B27" s="5" t="s">
        <v>761</v>
      </c>
      <c r="C27" s="5" t="n">
        <v>1300</v>
      </c>
      <c r="D27" s="5" t="s">
        <v>676</v>
      </c>
      <c r="E27" s="5" t="s">
        <v>757</v>
      </c>
      <c r="F27" s="5" t="s">
        <v>758</v>
      </c>
      <c r="G27" s="5" t="s">
        <v>759</v>
      </c>
      <c r="H27" s="17" t="s">
        <v>114</v>
      </c>
    </row>
    <row r="28" customFormat="false" ht="23.85" hidden="false" customHeight="false" outlineLevel="0" collapsed="false">
      <c r="A28" s="5" t="s">
        <v>762</v>
      </c>
      <c r="B28" s="5" t="s">
        <v>763</v>
      </c>
      <c r="C28" s="5" t="n">
        <v>350</v>
      </c>
      <c r="D28" s="5" t="s">
        <v>676</v>
      </c>
      <c r="E28" s="5" t="s">
        <v>757</v>
      </c>
      <c r="F28" s="5" t="s">
        <v>758</v>
      </c>
      <c r="G28" s="5" t="s">
        <v>759</v>
      </c>
      <c r="H28" s="17" t="s">
        <v>114</v>
      </c>
    </row>
    <row r="29" customFormat="false" ht="15" hidden="false" customHeight="false" outlineLevel="0" collapsed="false">
      <c r="A29" s="5" t="s">
        <v>764</v>
      </c>
      <c r="B29" s="5" t="s">
        <v>765</v>
      </c>
      <c r="C29" s="5" t="n">
        <v>1200</v>
      </c>
      <c r="D29" s="5" t="s">
        <v>676</v>
      </c>
      <c r="E29" s="5" t="s">
        <v>766</v>
      </c>
      <c r="F29" s="5" t="s">
        <v>767</v>
      </c>
      <c r="G29" s="5" t="s">
        <v>768</v>
      </c>
      <c r="H29" s="17" t="s">
        <v>182</v>
      </c>
    </row>
    <row r="30" customFormat="false" ht="15" hidden="false" customHeight="false" outlineLevel="0" collapsed="false">
      <c r="A30" s="5" t="s">
        <v>769</v>
      </c>
      <c r="B30" s="5" t="s">
        <v>770</v>
      </c>
      <c r="C30" s="5" t="n">
        <v>1000</v>
      </c>
      <c r="D30" s="5" t="s">
        <v>676</v>
      </c>
      <c r="E30" s="5" t="s">
        <v>766</v>
      </c>
      <c r="F30" s="5" t="s">
        <v>767</v>
      </c>
      <c r="G30" s="5" t="s">
        <v>768</v>
      </c>
      <c r="H30" s="17" t="s">
        <v>182</v>
      </c>
    </row>
    <row r="31" customFormat="false" ht="15" hidden="false" customHeight="false" outlineLevel="0" collapsed="false">
      <c r="A31" s="5" t="s">
        <v>771</v>
      </c>
      <c r="B31" s="5" t="s">
        <v>772</v>
      </c>
      <c r="C31" s="5" t="n">
        <v>1300</v>
      </c>
      <c r="D31" s="5" t="s">
        <v>676</v>
      </c>
      <c r="E31" s="5" t="s">
        <v>766</v>
      </c>
      <c r="F31" s="5" t="s">
        <v>767</v>
      </c>
      <c r="G31" s="5" t="s">
        <v>768</v>
      </c>
      <c r="H31" s="17" t="s">
        <v>182</v>
      </c>
    </row>
    <row r="32" customFormat="false" ht="15" hidden="false" customHeight="false" outlineLevel="0" collapsed="false">
      <c r="A32" s="5" t="s">
        <v>773</v>
      </c>
      <c r="B32" s="5" t="s">
        <v>774</v>
      </c>
      <c r="C32" s="5" t="n">
        <v>800</v>
      </c>
      <c r="D32" s="5" t="s">
        <v>676</v>
      </c>
      <c r="E32" s="5" t="s">
        <v>766</v>
      </c>
      <c r="F32" s="5" t="s">
        <v>775</v>
      </c>
      <c r="G32" s="5" t="s">
        <v>776</v>
      </c>
      <c r="H32" s="17" t="s">
        <v>182</v>
      </c>
    </row>
    <row r="33" customFormat="false" ht="15" hidden="false" customHeight="false" outlineLevel="0" collapsed="false">
      <c r="A33" s="5" t="s">
        <v>777</v>
      </c>
      <c r="B33" s="5" t="s">
        <v>778</v>
      </c>
      <c r="C33" s="5" t="n">
        <v>550</v>
      </c>
      <c r="D33" s="5" t="s">
        <v>676</v>
      </c>
      <c r="E33" s="5" t="s">
        <v>766</v>
      </c>
      <c r="F33" s="5" t="s">
        <v>775</v>
      </c>
      <c r="G33" s="5" t="s">
        <v>776</v>
      </c>
      <c r="H33" s="17" t="s">
        <v>182</v>
      </c>
    </row>
    <row r="34" customFormat="false" ht="15" hidden="false" customHeight="false" outlineLevel="0" collapsed="false">
      <c r="A34" s="5" t="s">
        <v>779</v>
      </c>
      <c r="B34" s="5" t="s">
        <v>780</v>
      </c>
      <c r="C34" s="5" t="n">
        <v>1300</v>
      </c>
      <c r="D34" s="5" t="s">
        <v>676</v>
      </c>
      <c r="E34" s="5" t="s">
        <v>766</v>
      </c>
      <c r="F34" s="5" t="s">
        <v>775</v>
      </c>
      <c r="G34" s="5" t="s">
        <v>776</v>
      </c>
      <c r="H34" s="17" t="s">
        <v>182</v>
      </c>
    </row>
    <row r="35" customFormat="false" ht="15" hidden="false" customHeight="false" outlineLevel="0" collapsed="false">
      <c r="A35" s="5" t="s">
        <v>781</v>
      </c>
      <c r="B35" s="5" t="s">
        <v>782</v>
      </c>
      <c r="C35" s="5" t="n">
        <v>1400</v>
      </c>
      <c r="D35" s="5" t="s">
        <v>676</v>
      </c>
      <c r="E35" s="5" t="s">
        <v>783</v>
      </c>
      <c r="F35" s="5" t="s">
        <v>784</v>
      </c>
      <c r="G35" s="5" t="s">
        <v>785</v>
      </c>
      <c r="H35" s="17" t="s">
        <v>131</v>
      </c>
    </row>
    <row r="36" customFormat="false" ht="15" hidden="false" customHeight="false" outlineLevel="0" collapsed="false">
      <c r="A36" s="5" t="s">
        <v>786</v>
      </c>
      <c r="B36" s="5" t="s">
        <v>787</v>
      </c>
      <c r="C36" s="5" t="n">
        <v>1200</v>
      </c>
      <c r="D36" s="5" t="s">
        <v>676</v>
      </c>
      <c r="E36" s="5" t="s">
        <v>783</v>
      </c>
      <c r="F36" s="5" t="s">
        <v>784</v>
      </c>
      <c r="G36" s="5" t="s">
        <v>785</v>
      </c>
      <c r="H36" s="17" t="s">
        <v>131</v>
      </c>
    </row>
    <row r="37" customFormat="false" ht="15" hidden="false" customHeight="false" outlineLevel="0" collapsed="false">
      <c r="A37" s="5" t="s">
        <v>788</v>
      </c>
      <c r="B37" s="5" t="s">
        <v>789</v>
      </c>
      <c r="C37" s="5" t="n">
        <v>1580</v>
      </c>
      <c r="D37" s="5" t="s">
        <v>676</v>
      </c>
      <c r="E37" s="5" t="s">
        <v>783</v>
      </c>
      <c r="F37" s="5" t="s">
        <v>784</v>
      </c>
      <c r="G37" s="5" t="s">
        <v>785</v>
      </c>
      <c r="H37" s="17" t="s">
        <v>131</v>
      </c>
    </row>
    <row r="38" customFormat="false" ht="15" hidden="false" customHeight="false" outlineLevel="0" collapsed="false">
      <c r="A38" s="5" t="s">
        <v>790</v>
      </c>
      <c r="B38" s="5" t="s">
        <v>791</v>
      </c>
      <c r="C38" s="5" t="n">
        <v>1800</v>
      </c>
      <c r="D38" s="5" t="s">
        <v>676</v>
      </c>
      <c r="E38" s="5" t="s">
        <v>783</v>
      </c>
      <c r="F38" s="5" t="s">
        <v>792</v>
      </c>
      <c r="G38" s="21" t="s">
        <v>793</v>
      </c>
      <c r="H38" s="17" t="s">
        <v>131</v>
      </c>
    </row>
    <row r="39" customFormat="false" ht="15" hidden="false" customHeight="false" outlineLevel="0" collapsed="false">
      <c r="A39" s="5" t="s">
        <v>794</v>
      </c>
      <c r="B39" s="5" t="s">
        <v>795</v>
      </c>
      <c r="C39" s="5" t="n">
        <v>1300</v>
      </c>
      <c r="D39" s="5" t="s">
        <v>676</v>
      </c>
      <c r="E39" s="5" t="s">
        <v>783</v>
      </c>
      <c r="F39" s="5" t="s">
        <v>792</v>
      </c>
      <c r="G39" s="21" t="s">
        <v>793</v>
      </c>
      <c r="H39" s="17" t="s">
        <v>131</v>
      </c>
    </row>
    <row r="40" customFormat="false" ht="15" hidden="false" customHeight="false" outlineLevel="0" collapsed="false">
      <c r="A40" s="5" t="s">
        <v>796</v>
      </c>
      <c r="B40" s="5" t="s">
        <v>797</v>
      </c>
      <c r="C40" s="5" t="n">
        <v>1250</v>
      </c>
      <c r="D40" s="5" t="s">
        <v>676</v>
      </c>
      <c r="E40" s="5" t="s">
        <v>783</v>
      </c>
      <c r="F40" s="5" t="s">
        <v>792</v>
      </c>
      <c r="G40" s="21" t="s">
        <v>793</v>
      </c>
      <c r="H40" s="17" t="s">
        <v>131</v>
      </c>
    </row>
    <row r="41" customFormat="false" ht="15" hidden="false" customHeight="false" outlineLevel="0" collapsed="false">
      <c r="A41" s="5" t="s">
        <v>798</v>
      </c>
      <c r="B41" s="5" t="s">
        <v>799</v>
      </c>
      <c r="C41" s="5" t="n">
        <v>1320</v>
      </c>
      <c r="D41" s="5" t="s">
        <v>676</v>
      </c>
      <c r="E41" s="5" t="s">
        <v>800</v>
      </c>
      <c r="F41" s="5" t="s">
        <v>801</v>
      </c>
      <c r="G41" s="5" t="s">
        <v>802</v>
      </c>
      <c r="H41" s="17" t="s">
        <v>238</v>
      </c>
    </row>
    <row r="42" customFormat="false" ht="15" hidden="false" customHeight="false" outlineLevel="0" collapsed="false">
      <c r="A42" s="5" t="s">
        <v>803</v>
      </c>
      <c r="B42" s="5" t="s">
        <v>804</v>
      </c>
      <c r="C42" s="5" t="n">
        <v>1000</v>
      </c>
      <c r="D42" s="5" t="s">
        <v>676</v>
      </c>
      <c r="E42" s="5" t="s">
        <v>800</v>
      </c>
      <c r="F42" s="5" t="s">
        <v>801</v>
      </c>
      <c r="G42" s="5" t="s">
        <v>802</v>
      </c>
      <c r="H42" s="17" t="s">
        <v>238</v>
      </c>
    </row>
    <row r="43" customFormat="false" ht="15" hidden="false" customHeight="false" outlineLevel="0" collapsed="false">
      <c r="A43" s="5" t="s">
        <v>805</v>
      </c>
      <c r="B43" s="5" t="s">
        <v>806</v>
      </c>
      <c r="C43" s="5" t="n">
        <v>1800</v>
      </c>
      <c r="D43" s="5" t="s">
        <v>676</v>
      </c>
      <c r="E43" s="5" t="s">
        <v>800</v>
      </c>
      <c r="F43" s="5" t="s">
        <v>801</v>
      </c>
      <c r="G43" s="5" t="s">
        <v>802</v>
      </c>
      <c r="H43" s="17" t="s">
        <v>238</v>
      </c>
    </row>
    <row r="44" customFormat="false" ht="23.85" hidden="false" customHeight="false" outlineLevel="0" collapsed="false">
      <c r="A44" s="5" t="s">
        <v>807</v>
      </c>
      <c r="B44" s="5" t="s">
        <v>808</v>
      </c>
      <c r="C44" s="5" t="n">
        <v>1200</v>
      </c>
      <c r="D44" s="5" t="s">
        <v>676</v>
      </c>
      <c r="E44" s="5" t="s">
        <v>809</v>
      </c>
      <c r="F44" s="5" t="s">
        <v>810</v>
      </c>
      <c r="G44" s="5" t="s">
        <v>811</v>
      </c>
      <c r="H44" s="17" t="s">
        <v>275</v>
      </c>
    </row>
    <row r="45" customFormat="false" ht="23.85" hidden="false" customHeight="false" outlineLevel="0" collapsed="false">
      <c r="A45" s="5" t="s">
        <v>812</v>
      </c>
      <c r="B45" s="5" t="s">
        <v>813</v>
      </c>
      <c r="C45" s="5" t="n">
        <v>700</v>
      </c>
      <c r="D45" s="5" t="s">
        <v>676</v>
      </c>
      <c r="E45" s="5" t="s">
        <v>809</v>
      </c>
      <c r="F45" s="5" t="s">
        <v>810</v>
      </c>
      <c r="G45" s="5" t="s">
        <v>811</v>
      </c>
      <c r="H45" s="17" t="s">
        <v>275</v>
      </c>
    </row>
    <row r="46" customFormat="false" ht="23.85" hidden="false" customHeight="false" outlineLevel="0" collapsed="false">
      <c r="A46" s="5" t="s">
        <v>814</v>
      </c>
      <c r="B46" s="5" t="s">
        <v>815</v>
      </c>
      <c r="C46" s="5" t="n">
        <v>1200</v>
      </c>
      <c r="D46" s="5" t="s">
        <v>676</v>
      </c>
      <c r="E46" s="5" t="s">
        <v>809</v>
      </c>
      <c r="F46" s="5" t="s">
        <v>810</v>
      </c>
      <c r="G46" s="5" t="s">
        <v>811</v>
      </c>
      <c r="H46" s="17" t="s">
        <v>275</v>
      </c>
    </row>
    <row r="47" customFormat="false" ht="15" hidden="false" customHeight="false" outlineLevel="0" collapsed="false">
      <c r="A47" s="5" t="s">
        <v>816</v>
      </c>
      <c r="B47" s="5" t="s">
        <v>817</v>
      </c>
      <c r="C47" s="5" t="n">
        <v>4500</v>
      </c>
      <c r="D47" s="5" t="s">
        <v>676</v>
      </c>
      <c r="E47" s="5" t="s">
        <v>818</v>
      </c>
      <c r="F47" s="5" t="s">
        <v>819</v>
      </c>
      <c r="G47" s="5" t="s">
        <v>820</v>
      </c>
      <c r="H47" s="17" t="s">
        <v>307</v>
      </c>
    </row>
    <row r="48" customFormat="false" ht="15" hidden="false" customHeight="false" outlineLevel="0" collapsed="false">
      <c r="A48" s="5" t="s">
        <v>821</v>
      </c>
      <c r="B48" s="5" t="s">
        <v>822</v>
      </c>
      <c r="C48" s="5" t="n">
        <v>1300</v>
      </c>
      <c r="D48" s="5" t="s">
        <v>676</v>
      </c>
      <c r="E48" s="5" t="s">
        <v>818</v>
      </c>
      <c r="F48" s="5" t="s">
        <v>819</v>
      </c>
      <c r="G48" s="5" t="s">
        <v>820</v>
      </c>
      <c r="H48" s="17" t="s">
        <v>307</v>
      </c>
    </row>
    <row r="49" customFormat="false" ht="15" hidden="false" customHeight="false" outlineLevel="0" collapsed="false">
      <c r="A49" s="5" t="s">
        <v>823</v>
      </c>
      <c r="B49" s="5" t="s">
        <v>824</v>
      </c>
      <c r="C49" s="5" t="n">
        <v>2200</v>
      </c>
      <c r="D49" s="5" t="s">
        <v>676</v>
      </c>
      <c r="E49" s="5" t="s">
        <v>818</v>
      </c>
      <c r="F49" s="5" t="s">
        <v>819</v>
      </c>
      <c r="G49" s="5" t="s">
        <v>820</v>
      </c>
      <c r="H49" s="17" t="s">
        <v>307</v>
      </c>
    </row>
    <row r="50" customFormat="false" ht="15" hidden="false" customHeight="false" outlineLevel="0" collapsed="false">
      <c r="A50" s="5" t="s">
        <v>825</v>
      </c>
      <c r="B50" s="5" t="s">
        <v>826</v>
      </c>
      <c r="C50" s="6" t="n">
        <v>6</v>
      </c>
      <c r="D50" s="5" t="s">
        <v>700</v>
      </c>
      <c r="E50" s="5" t="s">
        <v>827</v>
      </c>
      <c r="F50" s="5" t="s">
        <v>828</v>
      </c>
      <c r="G50" s="5" t="s">
        <v>829</v>
      </c>
      <c r="H50" s="17" t="s">
        <v>325</v>
      </c>
    </row>
    <row r="51" customFormat="false" ht="15" hidden="false" customHeight="false" outlineLevel="0" collapsed="false">
      <c r="A51" s="5" t="s">
        <v>830</v>
      </c>
      <c r="B51" s="5" t="s">
        <v>831</v>
      </c>
      <c r="C51" s="6" t="n">
        <v>2.44</v>
      </c>
      <c r="D51" s="5" t="s">
        <v>700</v>
      </c>
      <c r="E51" s="5" t="s">
        <v>827</v>
      </c>
      <c r="F51" s="5" t="s">
        <v>828</v>
      </c>
      <c r="G51" s="5" t="s">
        <v>829</v>
      </c>
      <c r="H51" s="17" t="s">
        <v>325</v>
      </c>
    </row>
    <row r="52" customFormat="false" ht="15" hidden="false" customHeight="false" outlineLevel="0" collapsed="false">
      <c r="A52" s="5" t="s">
        <v>832</v>
      </c>
      <c r="B52" s="5" t="s">
        <v>833</v>
      </c>
      <c r="C52" s="6" t="n">
        <v>2.44</v>
      </c>
      <c r="D52" s="5" t="s">
        <v>700</v>
      </c>
      <c r="E52" s="5" t="s">
        <v>827</v>
      </c>
      <c r="F52" s="5" t="s">
        <v>828</v>
      </c>
      <c r="G52" s="5" t="s">
        <v>829</v>
      </c>
      <c r="H52" s="17" t="s">
        <v>325</v>
      </c>
    </row>
    <row r="53" customFormat="false" ht="15" hidden="false" customHeight="false" outlineLevel="0" collapsed="false">
      <c r="A53" s="5" t="s">
        <v>834</v>
      </c>
      <c r="B53" s="5" t="s">
        <v>835</v>
      </c>
      <c r="C53" s="5" t="n">
        <v>2</v>
      </c>
      <c r="D53" s="5" t="s">
        <v>709</v>
      </c>
      <c r="E53" s="5" t="s">
        <v>827</v>
      </c>
      <c r="F53" s="5" t="s">
        <v>828</v>
      </c>
      <c r="G53" s="5" t="s">
        <v>829</v>
      </c>
      <c r="H53" s="17" t="s">
        <v>325</v>
      </c>
    </row>
    <row r="54" customFormat="false" ht="15" hidden="false" customHeight="false" outlineLevel="0" collapsed="false">
      <c r="A54" s="5" t="s">
        <v>836</v>
      </c>
      <c r="B54" s="5" t="s">
        <v>837</v>
      </c>
      <c r="C54" s="6" t="n">
        <v>2</v>
      </c>
      <c r="D54" s="5" t="s">
        <v>700</v>
      </c>
      <c r="E54" s="5" t="s">
        <v>827</v>
      </c>
      <c r="F54" s="5" t="s">
        <v>838</v>
      </c>
      <c r="G54" s="5" t="s">
        <v>839</v>
      </c>
      <c r="H54" s="17" t="s">
        <v>325</v>
      </c>
    </row>
    <row r="55" customFormat="false" ht="15" hidden="false" customHeight="false" outlineLevel="0" collapsed="false">
      <c r="A55" s="5" t="s">
        <v>840</v>
      </c>
      <c r="B55" s="5" t="s">
        <v>841</v>
      </c>
      <c r="C55" s="6" t="n">
        <v>1.5</v>
      </c>
      <c r="D55" s="5" t="s">
        <v>700</v>
      </c>
      <c r="E55" s="5" t="s">
        <v>827</v>
      </c>
      <c r="F55" s="5" t="s">
        <v>838</v>
      </c>
      <c r="G55" s="5" t="s">
        <v>839</v>
      </c>
      <c r="H55" s="17" t="s">
        <v>325</v>
      </c>
    </row>
    <row r="56" customFormat="false" ht="15" hidden="false" customHeight="false" outlineLevel="0" collapsed="false">
      <c r="A56" s="5" t="s">
        <v>842</v>
      </c>
      <c r="B56" s="5" t="s">
        <v>843</v>
      </c>
      <c r="C56" s="6" t="n">
        <v>2.44</v>
      </c>
      <c r="D56" s="5" t="s">
        <v>700</v>
      </c>
      <c r="E56" s="5" t="s">
        <v>827</v>
      </c>
      <c r="F56" s="5" t="s">
        <v>838</v>
      </c>
      <c r="G56" s="5" t="s">
        <v>839</v>
      </c>
      <c r="H56" s="17" t="s">
        <v>325</v>
      </c>
    </row>
    <row r="57" customFormat="false" ht="15" hidden="false" customHeight="false" outlineLevel="0" collapsed="false">
      <c r="A57" s="5" t="s">
        <v>844</v>
      </c>
      <c r="B57" s="5" t="s">
        <v>845</v>
      </c>
      <c r="C57" s="5" t="n">
        <v>1</v>
      </c>
      <c r="D57" s="5" t="s">
        <v>709</v>
      </c>
      <c r="E57" s="5" t="s">
        <v>827</v>
      </c>
      <c r="F57" s="5" t="s">
        <v>838</v>
      </c>
      <c r="G57" s="5" t="s">
        <v>839</v>
      </c>
      <c r="H57" s="17" t="s">
        <v>325</v>
      </c>
    </row>
    <row r="58" customFormat="false" ht="15" hidden="false" customHeight="false" outlineLevel="0" collapsed="false">
      <c r="A58" s="5" t="s">
        <v>846</v>
      </c>
      <c r="B58" s="5" t="s">
        <v>847</v>
      </c>
      <c r="C58" s="5" t="n">
        <v>620</v>
      </c>
      <c r="D58" s="5" t="s">
        <v>676</v>
      </c>
      <c r="E58" s="5" t="s">
        <v>848</v>
      </c>
      <c r="F58" s="5" t="s">
        <v>819</v>
      </c>
      <c r="G58" s="5" t="s">
        <v>849</v>
      </c>
      <c r="H58" s="17" t="s">
        <v>343</v>
      </c>
    </row>
    <row r="59" customFormat="false" ht="15" hidden="false" customHeight="false" outlineLevel="0" collapsed="false">
      <c r="A59" s="5" t="s">
        <v>850</v>
      </c>
      <c r="B59" s="5" t="s">
        <v>851</v>
      </c>
      <c r="C59" s="5" t="n">
        <v>510</v>
      </c>
      <c r="D59" s="5" t="s">
        <v>676</v>
      </c>
      <c r="E59" s="5" t="s">
        <v>848</v>
      </c>
      <c r="F59" s="5" t="s">
        <v>819</v>
      </c>
      <c r="G59" s="5" t="s">
        <v>849</v>
      </c>
      <c r="H59" s="17" t="s">
        <v>343</v>
      </c>
    </row>
    <row r="60" customFormat="false" ht="15" hidden="false" customHeight="false" outlineLevel="0" collapsed="false">
      <c r="A60" s="5" t="s">
        <v>852</v>
      </c>
      <c r="B60" s="5" t="s">
        <v>853</v>
      </c>
      <c r="C60" s="5" t="n">
        <v>1200</v>
      </c>
      <c r="D60" s="5" t="s">
        <v>676</v>
      </c>
      <c r="E60" s="5" t="s">
        <v>848</v>
      </c>
      <c r="F60" s="5" t="s">
        <v>819</v>
      </c>
      <c r="G60" s="5" t="s">
        <v>849</v>
      </c>
      <c r="H60" s="17" t="s">
        <v>343</v>
      </c>
    </row>
    <row r="61" customFormat="false" ht="15" hidden="false" customHeight="false" outlineLevel="0" collapsed="false">
      <c r="A61" s="5" t="s">
        <v>854</v>
      </c>
      <c r="B61" s="5" t="s">
        <v>855</v>
      </c>
      <c r="C61" s="5" t="n">
        <v>650</v>
      </c>
      <c r="D61" s="5" t="s">
        <v>676</v>
      </c>
      <c r="E61" s="5" t="s">
        <v>856</v>
      </c>
      <c r="F61" s="5" t="s">
        <v>857</v>
      </c>
      <c r="G61" s="5" t="s">
        <v>858</v>
      </c>
      <c r="H61" s="17" t="s">
        <v>357</v>
      </c>
    </row>
    <row r="62" customFormat="false" ht="15" hidden="false" customHeight="false" outlineLevel="0" collapsed="false">
      <c r="A62" s="5" t="s">
        <v>859</v>
      </c>
      <c r="B62" s="5" t="s">
        <v>860</v>
      </c>
      <c r="C62" s="5" t="n">
        <v>500</v>
      </c>
      <c r="D62" s="5" t="s">
        <v>676</v>
      </c>
      <c r="E62" s="5" t="s">
        <v>856</v>
      </c>
      <c r="F62" s="5" t="s">
        <v>857</v>
      </c>
      <c r="G62" s="5" t="s">
        <v>858</v>
      </c>
      <c r="H62" s="17" t="s">
        <v>357</v>
      </c>
    </row>
    <row r="63" customFormat="false" ht="15" hidden="false" customHeight="false" outlineLevel="0" collapsed="false">
      <c r="A63" s="5" t="s">
        <v>861</v>
      </c>
      <c r="B63" s="5" t="s">
        <v>862</v>
      </c>
      <c r="C63" s="5" t="n">
        <v>1450</v>
      </c>
      <c r="D63" s="5" t="s">
        <v>676</v>
      </c>
      <c r="E63" s="5" t="s">
        <v>856</v>
      </c>
      <c r="F63" s="5" t="s">
        <v>857</v>
      </c>
      <c r="G63" s="5" t="s">
        <v>858</v>
      </c>
      <c r="H63" s="17" t="s">
        <v>357</v>
      </c>
    </row>
    <row r="64" customFormat="false" ht="15" hidden="false" customHeight="false" outlineLevel="0" collapsed="false">
      <c r="A64" s="5" t="s">
        <v>863</v>
      </c>
      <c r="B64" s="5" t="s">
        <v>864</v>
      </c>
      <c r="C64" s="5" t="n">
        <v>1800</v>
      </c>
      <c r="D64" s="5" t="s">
        <v>676</v>
      </c>
      <c r="E64" s="5" t="s">
        <v>856</v>
      </c>
      <c r="F64" s="5" t="s">
        <v>865</v>
      </c>
      <c r="G64" s="5" t="s">
        <v>866</v>
      </c>
      <c r="H64" s="17" t="s">
        <v>357</v>
      </c>
    </row>
    <row r="65" customFormat="false" ht="15" hidden="false" customHeight="false" outlineLevel="0" collapsed="false">
      <c r="A65" s="5" t="s">
        <v>867</v>
      </c>
      <c r="B65" s="5" t="s">
        <v>868</v>
      </c>
      <c r="C65" s="5" t="n">
        <v>1000</v>
      </c>
      <c r="D65" s="5" t="s">
        <v>676</v>
      </c>
      <c r="E65" s="5" t="s">
        <v>856</v>
      </c>
      <c r="F65" s="5" t="s">
        <v>865</v>
      </c>
      <c r="G65" s="5" t="s">
        <v>866</v>
      </c>
      <c r="H65" s="17" t="s">
        <v>357</v>
      </c>
    </row>
    <row r="66" customFormat="false" ht="15" hidden="false" customHeight="false" outlineLevel="0" collapsed="false">
      <c r="A66" s="5" t="s">
        <v>869</v>
      </c>
      <c r="B66" s="5" t="s">
        <v>870</v>
      </c>
      <c r="C66" s="5" t="n">
        <v>900</v>
      </c>
      <c r="D66" s="5" t="s">
        <v>676</v>
      </c>
      <c r="E66" s="5" t="s">
        <v>856</v>
      </c>
      <c r="F66" s="5" t="s">
        <v>865</v>
      </c>
      <c r="G66" s="5" t="s">
        <v>866</v>
      </c>
      <c r="H66" s="17" t="s">
        <v>357</v>
      </c>
    </row>
    <row r="67" customFormat="false" ht="15" hidden="false" customHeight="false" outlineLevel="0" collapsed="false">
      <c r="A67" s="5" t="s">
        <v>871</v>
      </c>
      <c r="B67" s="5" t="s">
        <v>872</v>
      </c>
      <c r="C67" s="5" t="n">
        <v>3000</v>
      </c>
      <c r="D67" s="5" t="s">
        <v>676</v>
      </c>
      <c r="E67" s="5" t="s">
        <v>873</v>
      </c>
      <c r="F67" s="5" t="s">
        <v>874</v>
      </c>
      <c r="G67" s="5" t="s">
        <v>875</v>
      </c>
      <c r="H67" s="17" t="s">
        <v>409</v>
      </c>
    </row>
    <row r="68" customFormat="false" ht="15" hidden="false" customHeight="false" outlineLevel="0" collapsed="false">
      <c r="A68" s="5" t="s">
        <v>876</v>
      </c>
      <c r="B68" s="5" t="s">
        <v>877</v>
      </c>
      <c r="C68" s="5" t="n">
        <v>1500</v>
      </c>
      <c r="D68" s="5" t="s">
        <v>676</v>
      </c>
      <c r="E68" s="5" t="s">
        <v>873</v>
      </c>
      <c r="F68" s="5" t="s">
        <v>874</v>
      </c>
      <c r="G68" s="5" t="s">
        <v>875</v>
      </c>
      <c r="H68" s="17" t="s">
        <v>409</v>
      </c>
    </row>
    <row r="69" customFormat="false" ht="15" hidden="false" customHeight="false" outlineLevel="0" collapsed="false">
      <c r="A69" s="5" t="s">
        <v>878</v>
      </c>
      <c r="B69" s="5" t="s">
        <v>879</v>
      </c>
      <c r="C69" s="5" t="n">
        <v>2500</v>
      </c>
      <c r="D69" s="5" t="s">
        <v>676</v>
      </c>
      <c r="E69" s="5" t="s">
        <v>873</v>
      </c>
      <c r="F69" s="5" t="s">
        <v>874</v>
      </c>
      <c r="G69" s="5" t="s">
        <v>875</v>
      </c>
      <c r="H69" s="17" t="s">
        <v>409</v>
      </c>
    </row>
    <row r="70" customFormat="false" ht="15" hidden="false" customHeight="false" outlineLevel="0" collapsed="false">
      <c r="A70" s="5" t="s">
        <v>880</v>
      </c>
      <c r="B70" s="5" t="s">
        <v>881</v>
      </c>
      <c r="C70" s="5" t="n">
        <v>1</v>
      </c>
      <c r="D70" s="5" t="s">
        <v>709</v>
      </c>
      <c r="E70" s="5" t="s">
        <v>873</v>
      </c>
      <c r="F70" s="5" t="s">
        <v>882</v>
      </c>
      <c r="G70" s="5" t="s">
        <v>883</v>
      </c>
      <c r="H70" s="17" t="s">
        <v>409</v>
      </c>
    </row>
    <row r="71" customFormat="false" ht="15" hidden="false" customHeight="false" outlineLevel="0" collapsed="false">
      <c r="A71" s="5" t="s">
        <v>884</v>
      </c>
      <c r="B71" s="5" t="s">
        <v>885</v>
      </c>
      <c r="C71" s="5" t="n">
        <v>1250</v>
      </c>
      <c r="D71" s="5" t="s">
        <v>676</v>
      </c>
      <c r="E71" s="5" t="s">
        <v>783</v>
      </c>
      <c r="F71" s="5" t="s">
        <v>886</v>
      </c>
      <c r="G71" s="5" t="s">
        <v>887</v>
      </c>
      <c r="H71" s="17" t="s">
        <v>131</v>
      </c>
    </row>
    <row r="72" customFormat="false" ht="15" hidden="false" customHeight="false" outlineLevel="0" collapsed="false">
      <c r="A72" s="5" t="s">
        <v>888</v>
      </c>
      <c r="B72" s="5" t="s">
        <v>889</v>
      </c>
      <c r="C72" s="5" t="n">
        <v>750</v>
      </c>
      <c r="D72" s="5" t="s">
        <v>676</v>
      </c>
      <c r="E72" s="5" t="s">
        <v>783</v>
      </c>
      <c r="F72" s="5" t="s">
        <v>886</v>
      </c>
      <c r="G72" s="5" t="s">
        <v>887</v>
      </c>
      <c r="H72" s="17" t="s">
        <v>131</v>
      </c>
    </row>
    <row r="73" customFormat="false" ht="15" hidden="false" customHeight="false" outlineLevel="0" collapsed="false">
      <c r="A73" s="5" t="s">
        <v>890</v>
      </c>
      <c r="B73" s="5" t="s">
        <v>891</v>
      </c>
      <c r="C73" s="5" t="n">
        <v>1200</v>
      </c>
      <c r="D73" s="5" t="s">
        <v>676</v>
      </c>
      <c r="E73" s="5" t="s">
        <v>783</v>
      </c>
      <c r="F73" s="5" t="s">
        <v>886</v>
      </c>
      <c r="G73" s="5" t="s">
        <v>887</v>
      </c>
      <c r="H73" s="17" t="s">
        <v>131</v>
      </c>
    </row>
    <row r="74" customFormat="false" ht="15" hidden="false" customHeight="false" outlineLevel="0" collapsed="false">
      <c r="A74" s="5" t="s">
        <v>892</v>
      </c>
      <c r="B74" s="5" t="s">
        <v>893</v>
      </c>
      <c r="C74" s="5" t="n">
        <v>950</v>
      </c>
      <c r="D74" s="5" t="s">
        <v>676</v>
      </c>
      <c r="E74" s="5" t="s">
        <v>894</v>
      </c>
      <c r="F74" s="5" t="s">
        <v>895</v>
      </c>
      <c r="G74" s="5" t="s">
        <v>896</v>
      </c>
      <c r="H74" s="17" t="s">
        <v>145</v>
      </c>
    </row>
    <row r="75" customFormat="false" ht="15" hidden="false" customHeight="false" outlineLevel="0" collapsed="false">
      <c r="A75" s="5" t="s">
        <v>897</v>
      </c>
      <c r="B75" s="5" t="s">
        <v>898</v>
      </c>
      <c r="C75" s="5" t="n">
        <v>400</v>
      </c>
      <c r="D75" s="5" t="s">
        <v>676</v>
      </c>
      <c r="E75" s="5" t="s">
        <v>894</v>
      </c>
      <c r="F75" s="5" t="s">
        <v>895</v>
      </c>
      <c r="G75" s="5" t="s">
        <v>896</v>
      </c>
      <c r="H75" s="17" t="s">
        <v>145</v>
      </c>
    </row>
    <row r="76" customFormat="false" ht="15" hidden="false" customHeight="false" outlineLevel="0" collapsed="false">
      <c r="A76" s="5" t="s">
        <v>899</v>
      </c>
      <c r="B76" s="5" t="s">
        <v>900</v>
      </c>
      <c r="C76" s="5" t="n">
        <v>1050</v>
      </c>
      <c r="D76" s="5" t="s">
        <v>676</v>
      </c>
      <c r="E76" s="5" t="s">
        <v>894</v>
      </c>
      <c r="F76" s="5" t="s">
        <v>895</v>
      </c>
      <c r="G76" s="5" t="s">
        <v>896</v>
      </c>
      <c r="H76" s="17" t="s">
        <v>145</v>
      </c>
    </row>
    <row r="77" customFormat="false" ht="15" hidden="false" customHeight="false" outlineLevel="0" collapsed="false">
      <c r="A77" s="5" t="s">
        <v>901</v>
      </c>
      <c r="B77" s="5" t="s">
        <v>902</v>
      </c>
      <c r="C77" s="5" t="n">
        <v>100</v>
      </c>
      <c r="D77" s="5" t="s">
        <v>903</v>
      </c>
      <c r="E77" s="5" t="s">
        <v>904</v>
      </c>
      <c r="F77" s="5" t="s">
        <v>905</v>
      </c>
      <c r="G77" s="5" t="s">
        <v>906</v>
      </c>
      <c r="H77" s="17" t="s">
        <v>160</v>
      </c>
    </row>
    <row r="78" customFormat="false" ht="15" hidden="false" customHeight="false" outlineLevel="0" collapsed="false">
      <c r="A78" s="5" t="s">
        <v>907</v>
      </c>
      <c r="B78" s="5" t="s">
        <v>908</v>
      </c>
      <c r="C78" s="6" t="n">
        <v>46.2</v>
      </c>
      <c r="D78" s="5" t="s">
        <v>903</v>
      </c>
      <c r="E78" s="5" t="s">
        <v>904</v>
      </c>
      <c r="F78" s="5" t="s">
        <v>905</v>
      </c>
      <c r="G78" s="5" t="s">
        <v>906</v>
      </c>
      <c r="H78" s="17" t="s">
        <v>160</v>
      </c>
    </row>
    <row r="79" customFormat="false" ht="15" hidden="false" customHeight="false" outlineLevel="0" collapsed="false">
      <c r="A79" s="5" t="s">
        <v>909</v>
      </c>
      <c r="B79" s="5" t="s">
        <v>910</v>
      </c>
      <c r="C79" s="5" t="n">
        <v>110</v>
      </c>
      <c r="D79" s="5" t="s">
        <v>903</v>
      </c>
      <c r="E79" s="5" t="s">
        <v>904</v>
      </c>
      <c r="F79" s="5" t="s">
        <v>905</v>
      </c>
      <c r="G79" s="5" t="s">
        <v>906</v>
      </c>
      <c r="H79" s="17" t="s">
        <v>160</v>
      </c>
    </row>
    <row r="80" customFormat="false" ht="23.85" hidden="false" customHeight="false" outlineLevel="0" collapsed="false">
      <c r="A80" s="5" t="s">
        <v>911</v>
      </c>
      <c r="B80" s="5" t="s">
        <v>912</v>
      </c>
      <c r="C80" s="5" t="n">
        <v>331</v>
      </c>
      <c r="D80" s="5" t="s">
        <v>903</v>
      </c>
      <c r="E80" s="5" t="s">
        <v>913</v>
      </c>
      <c r="F80" s="5" t="s">
        <v>914</v>
      </c>
      <c r="G80" s="5" t="s">
        <v>915</v>
      </c>
      <c r="H80" s="17" t="s">
        <v>423</v>
      </c>
    </row>
    <row r="81" customFormat="false" ht="23.85" hidden="false" customHeight="false" outlineLevel="0" collapsed="false">
      <c r="A81" s="5" t="s">
        <v>916</v>
      </c>
      <c r="B81" s="5" t="s">
        <v>917</v>
      </c>
      <c r="C81" s="5" t="n">
        <v>121</v>
      </c>
      <c r="D81" s="5" t="s">
        <v>903</v>
      </c>
      <c r="E81" s="5" t="s">
        <v>913</v>
      </c>
      <c r="F81" s="5" t="s">
        <v>914</v>
      </c>
      <c r="G81" s="5" t="s">
        <v>915</v>
      </c>
      <c r="H81" s="17" t="s">
        <v>423</v>
      </c>
    </row>
    <row r="82" customFormat="false" ht="23.85" hidden="false" customHeight="false" outlineLevel="0" collapsed="false">
      <c r="A82" s="5" t="s">
        <v>918</v>
      </c>
      <c r="B82" s="5" t="s">
        <v>919</v>
      </c>
      <c r="C82" s="5" t="n">
        <v>133</v>
      </c>
      <c r="D82" s="5" t="s">
        <v>903</v>
      </c>
      <c r="E82" s="5" t="s">
        <v>913</v>
      </c>
      <c r="F82" s="5" t="s">
        <v>914</v>
      </c>
      <c r="G82" s="5" t="s">
        <v>915</v>
      </c>
      <c r="H82" s="17" t="s">
        <v>423</v>
      </c>
    </row>
    <row r="83" customFormat="false" ht="15" hidden="false" customHeight="false" outlineLevel="0" collapsed="false">
      <c r="A83" s="5" t="s">
        <v>920</v>
      </c>
      <c r="B83" s="5" t="s">
        <v>921</v>
      </c>
      <c r="C83" s="5" t="n">
        <v>470</v>
      </c>
      <c r="D83" s="5" t="s">
        <v>676</v>
      </c>
      <c r="E83" s="5" t="s">
        <v>922</v>
      </c>
      <c r="F83" s="5" t="s">
        <v>923</v>
      </c>
      <c r="G83" s="5" t="s">
        <v>924</v>
      </c>
      <c r="H83" s="17" t="s">
        <v>436</v>
      </c>
    </row>
    <row r="84" customFormat="false" ht="15" hidden="false" customHeight="false" outlineLevel="0" collapsed="false">
      <c r="A84" s="5" t="s">
        <v>925</v>
      </c>
      <c r="B84" s="5" t="s">
        <v>926</v>
      </c>
      <c r="C84" s="5" t="n">
        <v>320</v>
      </c>
      <c r="D84" s="5" t="s">
        <v>676</v>
      </c>
      <c r="E84" s="5" t="s">
        <v>922</v>
      </c>
      <c r="F84" s="5" t="s">
        <v>923</v>
      </c>
      <c r="G84" s="5" t="s">
        <v>924</v>
      </c>
      <c r="H84" s="17" t="s">
        <v>436</v>
      </c>
    </row>
    <row r="85" customFormat="false" ht="15" hidden="false" customHeight="false" outlineLevel="0" collapsed="false">
      <c r="A85" s="5" t="s">
        <v>927</v>
      </c>
      <c r="B85" s="5" t="s">
        <v>928</v>
      </c>
      <c r="C85" s="5" t="n">
        <v>334</v>
      </c>
      <c r="D85" s="5" t="s">
        <v>676</v>
      </c>
      <c r="E85" s="5" t="s">
        <v>922</v>
      </c>
      <c r="F85" s="5" t="s">
        <v>923</v>
      </c>
      <c r="G85" s="5" t="s">
        <v>924</v>
      </c>
      <c r="H85" s="17" t="s">
        <v>436</v>
      </c>
    </row>
    <row r="86" customFormat="false" ht="15" hidden="false" customHeight="false" outlineLevel="0" collapsed="false">
      <c r="A86" s="5" t="s">
        <v>929</v>
      </c>
      <c r="B86" s="5" t="s">
        <v>930</v>
      </c>
      <c r="C86" s="5" t="n">
        <v>450</v>
      </c>
      <c r="D86" s="5" t="s">
        <v>676</v>
      </c>
      <c r="E86" s="5" t="s">
        <v>922</v>
      </c>
      <c r="F86" s="5" t="s">
        <v>923</v>
      </c>
      <c r="G86" s="5" t="s">
        <v>924</v>
      </c>
      <c r="H86" s="17" t="s">
        <v>436</v>
      </c>
    </row>
    <row r="87" customFormat="false" ht="15" hidden="false" customHeight="false" outlineLevel="0" collapsed="false">
      <c r="A87" s="5" t="s">
        <v>931</v>
      </c>
      <c r="B87" s="5" t="s">
        <v>932</v>
      </c>
      <c r="C87" s="5" t="n">
        <v>160</v>
      </c>
      <c r="D87" s="5" t="s">
        <v>676</v>
      </c>
      <c r="E87" s="5" t="s">
        <v>922</v>
      </c>
      <c r="F87" s="5" t="s">
        <v>923</v>
      </c>
      <c r="G87" s="5" t="s">
        <v>924</v>
      </c>
      <c r="H87" s="17" t="s">
        <v>436</v>
      </c>
    </row>
    <row r="88" customFormat="false" ht="15" hidden="false" customHeight="false" outlineLevel="0" collapsed="false">
      <c r="A88" s="5" t="s">
        <v>933</v>
      </c>
      <c r="B88" s="5" t="s">
        <v>934</v>
      </c>
      <c r="C88" s="5" t="n">
        <v>334</v>
      </c>
      <c r="D88" s="5" t="s">
        <v>676</v>
      </c>
      <c r="E88" s="5" t="s">
        <v>922</v>
      </c>
      <c r="F88" s="5" t="s">
        <v>923</v>
      </c>
      <c r="G88" s="5" t="s">
        <v>924</v>
      </c>
      <c r="H88" s="17" t="s">
        <v>436</v>
      </c>
    </row>
    <row r="89" customFormat="false" ht="23.85" hidden="false" customHeight="false" outlineLevel="0" collapsed="false">
      <c r="A89" s="5" t="s">
        <v>935</v>
      </c>
      <c r="B89" s="5" t="s">
        <v>936</v>
      </c>
      <c r="C89" s="5" t="n">
        <v>230</v>
      </c>
      <c r="D89" s="5" t="s">
        <v>903</v>
      </c>
      <c r="E89" s="5" t="s">
        <v>937</v>
      </c>
      <c r="F89" s="5" t="s">
        <v>938</v>
      </c>
      <c r="G89" s="5" t="s">
        <v>939</v>
      </c>
      <c r="H89" s="17" t="s">
        <v>450</v>
      </c>
    </row>
    <row r="90" customFormat="false" ht="23.85" hidden="false" customHeight="false" outlineLevel="0" collapsed="false">
      <c r="A90" s="5" t="s">
        <v>940</v>
      </c>
      <c r="B90" s="5" t="s">
        <v>941</v>
      </c>
      <c r="C90" s="5" t="n">
        <v>114</v>
      </c>
      <c r="D90" s="5" t="s">
        <v>903</v>
      </c>
      <c r="E90" s="5" t="s">
        <v>937</v>
      </c>
      <c r="F90" s="5" t="s">
        <v>938</v>
      </c>
      <c r="G90" s="5" t="s">
        <v>939</v>
      </c>
      <c r="H90" s="17" t="s">
        <v>450</v>
      </c>
    </row>
    <row r="91" customFormat="false" ht="23.85" hidden="false" customHeight="false" outlineLevel="0" collapsed="false">
      <c r="A91" s="5" t="s">
        <v>942</v>
      </c>
      <c r="B91" s="5" t="s">
        <v>943</v>
      </c>
      <c r="C91" s="5" t="n">
        <v>180</v>
      </c>
      <c r="D91" s="5" t="s">
        <v>903</v>
      </c>
      <c r="E91" s="5" t="s">
        <v>937</v>
      </c>
      <c r="F91" s="5" t="s">
        <v>938</v>
      </c>
      <c r="G91" s="5" t="s">
        <v>939</v>
      </c>
      <c r="H91" s="17" t="s">
        <v>450</v>
      </c>
    </row>
    <row r="92" customFormat="false" ht="23.85" hidden="false" customHeight="false" outlineLevel="0" collapsed="false">
      <c r="A92" s="5" t="s">
        <v>944</v>
      </c>
      <c r="B92" s="5" t="s">
        <v>945</v>
      </c>
      <c r="C92" s="5" t="n">
        <v>72</v>
      </c>
      <c r="D92" s="5" t="s">
        <v>903</v>
      </c>
      <c r="E92" s="5" t="s">
        <v>937</v>
      </c>
      <c r="F92" s="5" t="s">
        <v>946</v>
      </c>
      <c r="G92" s="5" t="s">
        <v>947</v>
      </c>
      <c r="H92" s="17" t="s">
        <v>450</v>
      </c>
    </row>
    <row r="93" customFormat="false" ht="23.85" hidden="false" customHeight="false" outlineLevel="0" collapsed="false">
      <c r="A93" s="5" t="s">
        <v>948</v>
      </c>
      <c r="B93" s="5" t="s">
        <v>949</v>
      </c>
      <c r="C93" s="5" t="n">
        <v>53</v>
      </c>
      <c r="D93" s="5" t="s">
        <v>903</v>
      </c>
      <c r="E93" s="5" t="s">
        <v>937</v>
      </c>
      <c r="F93" s="5" t="s">
        <v>946</v>
      </c>
      <c r="G93" s="5" t="s">
        <v>947</v>
      </c>
      <c r="H93" s="17" t="s">
        <v>450</v>
      </c>
    </row>
    <row r="94" customFormat="false" ht="23.85" hidden="false" customHeight="false" outlineLevel="0" collapsed="false">
      <c r="A94" s="5" t="s">
        <v>950</v>
      </c>
      <c r="B94" s="5" t="s">
        <v>951</v>
      </c>
      <c r="C94" s="5" t="n">
        <v>87</v>
      </c>
      <c r="D94" s="5" t="s">
        <v>903</v>
      </c>
      <c r="E94" s="5" t="s">
        <v>937</v>
      </c>
      <c r="F94" s="5" t="s">
        <v>946</v>
      </c>
      <c r="G94" s="5" t="s">
        <v>947</v>
      </c>
      <c r="H94" s="17" t="s">
        <v>450</v>
      </c>
    </row>
    <row r="95" customFormat="false" ht="15" hidden="false" customHeight="false" outlineLevel="0" collapsed="false">
      <c r="A95" s="5" t="s">
        <v>952</v>
      </c>
      <c r="B95" s="5" t="s">
        <v>953</v>
      </c>
      <c r="C95" s="5" t="n">
        <v>80</v>
      </c>
      <c r="D95" s="5" t="s">
        <v>903</v>
      </c>
      <c r="E95" s="5" t="s">
        <v>904</v>
      </c>
      <c r="F95" s="5" t="s">
        <v>954</v>
      </c>
      <c r="G95" s="5" t="s">
        <v>955</v>
      </c>
      <c r="H95" s="17" t="s">
        <v>160</v>
      </c>
    </row>
    <row r="96" customFormat="false" ht="15" hidden="false" customHeight="false" outlineLevel="0" collapsed="false">
      <c r="A96" s="5" t="s">
        <v>956</v>
      </c>
      <c r="B96" s="5" t="s">
        <v>957</v>
      </c>
      <c r="C96" s="5" t="n">
        <v>40</v>
      </c>
      <c r="D96" s="5" t="s">
        <v>903</v>
      </c>
      <c r="E96" s="5" t="s">
        <v>904</v>
      </c>
      <c r="F96" s="5" t="s">
        <v>954</v>
      </c>
      <c r="G96" s="5" t="s">
        <v>955</v>
      </c>
      <c r="H96" s="17" t="s">
        <v>160</v>
      </c>
    </row>
    <row r="97" customFormat="false" ht="15" hidden="false" customHeight="false" outlineLevel="0" collapsed="false">
      <c r="A97" s="5" t="s">
        <v>958</v>
      </c>
      <c r="B97" s="5" t="s">
        <v>959</v>
      </c>
      <c r="C97" s="5" t="n">
        <v>135</v>
      </c>
      <c r="D97" s="5" t="s">
        <v>903</v>
      </c>
      <c r="E97" s="5" t="s">
        <v>904</v>
      </c>
      <c r="F97" s="5" t="s">
        <v>954</v>
      </c>
      <c r="G97" s="5" t="s">
        <v>955</v>
      </c>
      <c r="H97" s="17" t="s">
        <v>160</v>
      </c>
    </row>
    <row r="98" customFormat="false" ht="15" hidden="false" customHeight="false" outlineLevel="0" collapsed="false">
      <c r="A98" s="5" t="s">
        <v>960</v>
      </c>
      <c r="B98" s="5" t="s">
        <v>961</v>
      </c>
      <c r="C98" s="5" t="n">
        <v>60</v>
      </c>
      <c r="D98" s="5" t="s">
        <v>903</v>
      </c>
      <c r="E98" s="5" t="s">
        <v>904</v>
      </c>
      <c r="F98" s="5" t="s">
        <v>962</v>
      </c>
      <c r="G98" s="5" t="s">
        <v>963</v>
      </c>
      <c r="H98" s="17" t="s">
        <v>160</v>
      </c>
    </row>
    <row r="99" customFormat="false" ht="15" hidden="false" customHeight="false" outlineLevel="0" collapsed="false">
      <c r="A99" s="5" t="s">
        <v>964</v>
      </c>
      <c r="B99" s="5" t="s">
        <v>965</v>
      </c>
      <c r="C99" s="5" t="n">
        <v>58</v>
      </c>
      <c r="D99" s="5" t="s">
        <v>903</v>
      </c>
      <c r="E99" s="5" t="s">
        <v>904</v>
      </c>
      <c r="F99" s="5" t="s">
        <v>962</v>
      </c>
      <c r="G99" s="5" t="s">
        <v>963</v>
      </c>
      <c r="H99" s="17" t="s">
        <v>160</v>
      </c>
    </row>
    <row r="100" customFormat="false" ht="15" hidden="false" customHeight="false" outlineLevel="0" collapsed="false">
      <c r="A100" s="5" t="s">
        <v>966</v>
      </c>
      <c r="B100" s="5" t="s">
        <v>967</v>
      </c>
      <c r="C100" s="5" t="n">
        <v>95</v>
      </c>
      <c r="D100" s="5" t="s">
        <v>903</v>
      </c>
      <c r="E100" s="5" t="s">
        <v>904</v>
      </c>
      <c r="F100" s="5" t="s">
        <v>962</v>
      </c>
      <c r="G100" s="5" t="s">
        <v>963</v>
      </c>
      <c r="H100" s="17" t="s">
        <v>160</v>
      </c>
    </row>
    <row r="101" customFormat="false" ht="15" hidden="false" customHeight="false" outlineLevel="0" collapsed="false">
      <c r="A101" s="5" t="s">
        <v>968</v>
      </c>
      <c r="B101" s="5" t="s">
        <v>969</v>
      </c>
      <c r="C101" s="5" t="n">
        <v>65</v>
      </c>
      <c r="D101" s="5" t="s">
        <v>903</v>
      </c>
      <c r="E101" s="5" t="s">
        <v>904</v>
      </c>
      <c r="F101" s="5" t="s">
        <v>970</v>
      </c>
      <c r="G101" s="5" t="s">
        <v>971</v>
      </c>
      <c r="H101" s="17" t="s">
        <v>160</v>
      </c>
    </row>
    <row r="102" customFormat="false" ht="15" hidden="false" customHeight="false" outlineLevel="0" collapsed="false">
      <c r="A102" s="5" t="s">
        <v>972</v>
      </c>
      <c r="B102" s="5" t="s">
        <v>973</v>
      </c>
      <c r="C102" s="5" t="n">
        <v>55</v>
      </c>
      <c r="D102" s="5" t="s">
        <v>903</v>
      </c>
      <c r="E102" s="5" t="s">
        <v>904</v>
      </c>
      <c r="F102" s="5" t="s">
        <v>970</v>
      </c>
      <c r="G102" s="5" t="s">
        <v>971</v>
      </c>
      <c r="H102" s="17" t="s">
        <v>160</v>
      </c>
    </row>
    <row r="103" customFormat="false" ht="15" hidden="false" customHeight="false" outlineLevel="0" collapsed="false">
      <c r="A103" s="5" t="s">
        <v>974</v>
      </c>
      <c r="B103" s="5" t="s">
        <v>975</v>
      </c>
      <c r="C103" s="5" t="n">
        <v>105</v>
      </c>
      <c r="D103" s="5" t="s">
        <v>903</v>
      </c>
      <c r="E103" s="5" t="s">
        <v>904</v>
      </c>
      <c r="F103" s="5" t="s">
        <v>970</v>
      </c>
      <c r="G103" s="5" t="s">
        <v>971</v>
      </c>
      <c r="H103" s="17" t="s">
        <v>160</v>
      </c>
    </row>
    <row r="104" customFormat="false" ht="15" hidden="false" customHeight="false" outlineLevel="0" collapsed="false">
      <c r="A104" s="5" t="s">
        <v>976</v>
      </c>
      <c r="B104" s="5" t="s">
        <v>977</v>
      </c>
      <c r="C104" s="5" t="n">
        <v>93</v>
      </c>
      <c r="D104" s="5" t="s">
        <v>903</v>
      </c>
      <c r="E104" s="5" t="s">
        <v>904</v>
      </c>
      <c r="F104" s="5" t="s">
        <v>978</v>
      </c>
      <c r="G104" s="5" t="s">
        <v>979</v>
      </c>
      <c r="H104" s="17" t="s">
        <v>160</v>
      </c>
    </row>
    <row r="105" customFormat="false" ht="15" hidden="false" customHeight="false" outlineLevel="0" collapsed="false">
      <c r="A105" s="5" t="s">
        <v>980</v>
      </c>
      <c r="B105" s="5" t="s">
        <v>981</v>
      </c>
      <c r="C105" s="5" t="n">
        <v>59</v>
      </c>
      <c r="D105" s="5" t="s">
        <v>903</v>
      </c>
      <c r="E105" s="5" t="s">
        <v>904</v>
      </c>
      <c r="F105" s="5" t="s">
        <v>978</v>
      </c>
      <c r="G105" s="5" t="s">
        <v>979</v>
      </c>
      <c r="H105" s="17" t="s">
        <v>160</v>
      </c>
    </row>
    <row r="106" customFormat="false" ht="15" hidden="false" customHeight="false" outlineLevel="0" collapsed="false">
      <c r="A106" s="5" t="s">
        <v>982</v>
      </c>
      <c r="B106" s="5" t="s">
        <v>983</v>
      </c>
      <c r="C106" s="5" t="n">
        <v>98</v>
      </c>
      <c r="D106" s="5" t="s">
        <v>903</v>
      </c>
      <c r="E106" s="5" t="s">
        <v>904</v>
      </c>
      <c r="F106" s="5" t="s">
        <v>978</v>
      </c>
      <c r="G106" s="5" t="s">
        <v>979</v>
      </c>
      <c r="H106" s="17" t="s">
        <v>160</v>
      </c>
    </row>
    <row r="107" customFormat="false" ht="15" hidden="false" customHeight="false" outlineLevel="0" collapsed="false">
      <c r="A107" s="5" t="s">
        <v>984</v>
      </c>
      <c r="B107" s="5" t="s">
        <v>985</v>
      </c>
      <c r="C107" s="5" t="n">
        <v>101</v>
      </c>
      <c r="D107" s="5" t="s">
        <v>903</v>
      </c>
      <c r="E107" s="5" t="s">
        <v>904</v>
      </c>
      <c r="F107" s="5" t="s">
        <v>978</v>
      </c>
      <c r="G107" s="5" t="s">
        <v>986</v>
      </c>
      <c r="H107" s="17" t="s">
        <v>160</v>
      </c>
    </row>
    <row r="108" customFormat="false" ht="15" hidden="false" customHeight="false" outlineLevel="0" collapsed="false">
      <c r="A108" s="5" t="s">
        <v>987</v>
      </c>
      <c r="B108" s="5" t="s">
        <v>988</v>
      </c>
      <c r="C108" s="5" t="n">
        <v>56</v>
      </c>
      <c r="D108" s="5" t="s">
        <v>903</v>
      </c>
      <c r="E108" s="5" t="s">
        <v>904</v>
      </c>
      <c r="F108" s="5" t="s">
        <v>978</v>
      </c>
      <c r="G108" s="5" t="s">
        <v>986</v>
      </c>
      <c r="H108" s="17" t="s">
        <v>160</v>
      </c>
    </row>
    <row r="109" customFormat="false" ht="15" hidden="false" customHeight="false" outlineLevel="0" collapsed="false">
      <c r="A109" s="5" t="s">
        <v>989</v>
      </c>
      <c r="B109" s="5" t="s">
        <v>990</v>
      </c>
      <c r="C109" s="5" t="n">
        <v>120</v>
      </c>
      <c r="D109" s="5" t="s">
        <v>903</v>
      </c>
      <c r="E109" s="5" t="s">
        <v>904</v>
      </c>
      <c r="F109" s="5" t="s">
        <v>978</v>
      </c>
      <c r="G109" s="5" t="s">
        <v>986</v>
      </c>
      <c r="H109" s="17" t="s">
        <v>160</v>
      </c>
    </row>
    <row r="110" customFormat="false" ht="15" hidden="false" customHeight="false" outlineLevel="0" collapsed="false">
      <c r="A110" s="5" t="s">
        <v>991</v>
      </c>
      <c r="B110" s="5" t="s">
        <v>992</v>
      </c>
      <c r="C110" s="5" t="n">
        <v>76</v>
      </c>
      <c r="D110" s="5" t="s">
        <v>903</v>
      </c>
      <c r="E110" s="5" t="s">
        <v>904</v>
      </c>
      <c r="F110" s="5" t="s">
        <v>993</v>
      </c>
      <c r="G110" s="5" t="s">
        <v>994</v>
      </c>
      <c r="H110" s="17" t="s">
        <v>160</v>
      </c>
    </row>
    <row r="111" customFormat="false" ht="15" hidden="false" customHeight="false" outlineLevel="0" collapsed="false">
      <c r="A111" s="5" t="s">
        <v>995</v>
      </c>
      <c r="B111" s="5" t="s">
        <v>996</v>
      </c>
      <c r="C111" s="5" t="n">
        <v>35</v>
      </c>
      <c r="D111" s="5" t="s">
        <v>903</v>
      </c>
      <c r="E111" s="5" t="s">
        <v>904</v>
      </c>
      <c r="F111" s="5" t="s">
        <v>993</v>
      </c>
      <c r="G111" s="5" t="s">
        <v>994</v>
      </c>
      <c r="H111" s="17" t="s">
        <v>160</v>
      </c>
    </row>
    <row r="112" customFormat="false" ht="15" hidden="false" customHeight="false" outlineLevel="0" collapsed="false">
      <c r="A112" s="5" t="s">
        <v>997</v>
      </c>
      <c r="B112" s="5" t="s">
        <v>998</v>
      </c>
      <c r="C112" s="5" t="n">
        <v>32</v>
      </c>
      <c r="D112" s="5" t="s">
        <v>903</v>
      </c>
      <c r="E112" s="5" t="s">
        <v>904</v>
      </c>
      <c r="F112" s="5" t="s">
        <v>993</v>
      </c>
      <c r="G112" s="5" t="s">
        <v>994</v>
      </c>
      <c r="H112" s="17" t="s">
        <v>160</v>
      </c>
    </row>
    <row r="113" customFormat="false" ht="15" hidden="false" customHeight="false" outlineLevel="0" collapsed="false">
      <c r="A113" s="5" t="s">
        <v>999</v>
      </c>
      <c r="B113" s="5" t="s">
        <v>1000</v>
      </c>
      <c r="C113" s="6" t="n">
        <v>58.5</v>
      </c>
      <c r="D113" s="5" t="s">
        <v>903</v>
      </c>
      <c r="E113" s="5" t="s">
        <v>904</v>
      </c>
      <c r="F113" s="5" t="s">
        <v>1001</v>
      </c>
      <c r="G113" s="5" t="s">
        <v>1002</v>
      </c>
      <c r="H113" s="17" t="s">
        <v>160</v>
      </c>
    </row>
    <row r="114" customFormat="false" ht="15" hidden="false" customHeight="false" outlineLevel="0" collapsed="false">
      <c r="A114" s="5" t="s">
        <v>1003</v>
      </c>
      <c r="B114" s="5" t="s">
        <v>1004</v>
      </c>
      <c r="C114" s="5" t="n">
        <v>50</v>
      </c>
      <c r="D114" s="5" t="s">
        <v>903</v>
      </c>
      <c r="E114" s="5" t="s">
        <v>904</v>
      </c>
      <c r="F114" s="5" t="s">
        <v>1001</v>
      </c>
      <c r="G114" s="5" t="s">
        <v>1002</v>
      </c>
      <c r="H114" s="17" t="s">
        <v>160</v>
      </c>
    </row>
    <row r="115" customFormat="false" ht="15" hidden="false" customHeight="false" outlineLevel="0" collapsed="false">
      <c r="A115" s="5" t="s">
        <v>1005</v>
      </c>
      <c r="B115" s="5" t="s">
        <v>1006</v>
      </c>
      <c r="C115" s="5" t="n">
        <v>100</v>
      </c>
      <c r="D115" s="5" t="s">
        <v>903</v>
      </c>
      <c r="E115" s="5" t="s">
        <v>904</v>
      </c>
      <c r="F115" s="5" t="s">
        <v>1001</v>
      </c>
      <c r="G115" s="5" t="s">
        <v>1002</v>
      </c>
      <c r="H115" s="17" t="s">
        <v>160</v>
      </c>
    </row>
    <row r="116" customFormat="false" ht="15" hidden="false" customHeight="false" outlineLevel="0" collapsed="false">
      <c r="A116" s="5" t="s">
        <v>1007</v>
      </c>
      <c r="B116" s="5" t="s">
        <v>1008</v>
      </c>
      <c r="C116" s="5" t="n">
        <v>1</v>
      </c>
      <c r="D116" s="5" t="s">
        <v>709</v>
      </c>
      <c r="E116" s="5" t="s">
        <v>719</v>
      </c>
      <c r="F116" s="5" t="s">
        <v>1009</v>
      </c>
      <c r="G116" s="5" t="s">
        <v>1010</v>
      </c>
      <c r="H116" s="17" t="s">
        <v>92</v>
      </c>
    </row>
    <row r="117" customFormat="false" ht="23.85" hidden="false" customHeight="false" outlineLevel="0" collapsed="false">
      <c r="A117" s="5" t="s">
        <v>1011</v>
      </c>
      <c r="B117" s="5" t="s">
        <v>1012</v>
      </c>
      <c r="C117" s="5" t="s">
        <v>1013</v>
      </c>
      <c r="D117" s="5" t="s">
        <v>1014</v>
      </c>
      <c r="E117" s="5" t="s">
        <v>1015</v>
      </c>
      <c r="F117" s="5" t="s">
        <v>1016</v>
      </c>
      <c r="G117" s="5" t="s">
        <v>1017</v>
      </c>
      <c r="H117" s="17" t="s">
        <v>1018</v>
      </c>
    </row>
    <row r="118" customFormat="false" ht="46.25" hidden="false" customHeight="false" outlineLevel="0" collapsed="false">
      <c r="A118" s="5" t="s">
        <v>1019</v>
      </c>
      <c r="B118" s="5" t="s">
        <v>1020</v>
      </c>
      <c r="C118" s="5" t="s">
        <v>1021</v>
      </c>
      <c r="D118" s="5" t="s">
        <v>1014</v>
      </c>
      <c r="E118" s="5" t="s">
        <v>1015</v>
      </c>
      <c r="F118" s="5" t="s">
        <v>1022</v>
      </c>
      <c r="G118" s="5" t="s">
        <v>1023</v>
      </c>
      <c r="H118" s="17" t="s">
        <v>1018</v>
      </c>
    </row>
    <row r="119" customFormat="false" ht="15" hidden="false" customHeight="false" outlineLevel="0" collapsed="false">
      <c r="A119" s="5" t="s">
        <v>1024</v>
      </c>
      <c r="B119" s="5" t="s">
        <v>1025</v>
      </c>
      <c r="C119" s="5" t="n">
        <v>1</v>
      </c>
      <c r="D119" s="5" t="s">
        <v>709</v>
      </c>
      <c r="E119" s="5" t="s">
        <v>677</v>
      </c>
      <c r="F119" s="5" t="s">
        <v>1026</v>
      </c>
      <c r="G119" s="5" t="s">
        <v>1027</v>
      </c>
      <c r="H119" s="17" t="s">
        <v>116</v>
      </c>
    </row>
    <row r="120" customFormat="false" ht="15" hidden="false" customHeight="false" outlineLevel="0" collapsed="false">
      <c r="A120" s="5" t="s">
        <v>1028</v>
      </c>
      <c r="B120" s="5" t="s">
        <v>1029</v>
      </c>
      <c r="C120" s="5" t="n">
        <v>1</v>
      </c>
      <c r="D120" s="5" t="s">
        <v>709</v>
      </c>
      <c r="E120" s="5" t="s">
        <v>677</v>
      </c>
      <c r="F120" s="5" t="s">
        <v>1030</v>
      </c>
      <c r="G120" s="5" t="s">
        <v>1031</v>
      </c>
      <c r="H120" s="17" t="s">
        <v>116</v>
      </c>
    </row>
    <row r="121" customFormat="false" ht="15" hidden="false" customHeight="false" outlineLevel="0" collapsed="false">
      <c r="A121" s="5" t="s">
        <v>206</v>
      </c>
      <c r="B121" s="5" t="s">
        <v>1032</v>
      </c>
      <c r="C121" s="5" t="n">
        <v>2</v>
      </c>
      <c r="D121" s="5" t="s">
        <v>709</v>
      </c>
      <c r="E121" s="5" t="s">
        <v>719</v>
      </c>
      <c r="F121" s="5" t="s">
        <v>1033</v>
      </c>
      <c r="G121" s="5" t="s">
        <v>1034</v>
      </c>
      <c r="H121" s="17" t="s">
        <v>92</v>
      </c>
    </row>
    <row r="122" customFormat="false" ht="15" hidden="false" customHeight="false" outlineLevel="0" collapsed="false">
      <c r="A122" s="5" t="s">
        <v>1035</v>
      </c>
      <c r="B122" s="5" t="s">
        <v>1036</v>
      </c>
      <c r="C122" s="5" t="n">
        <v>1</v>
      </c>
      <c r="D122" s="5" t="s">
        <v>709</v>
      </c>
      <c r="E122" s="5" t="s">
        <v>719</v>
      </c>
      <c r="F122" s="5" t="s">
        <v>1037</v>
      </c>
      <c r="G122" s="5" t="s">
        <v>1038</v>
      </c>
      <c r="H122" s="17" t="s">
        <v>92</v>
      </c>
    </row>
    <row r="123" customFormat="false" ht="15" hidden="false" customHeight="false" outlineLevel="0" collapsed="false">
      <c r="A123" s="5" t="s">
        <v>1039</v>
      </c>
      <c r="B123" s="5" t="s">
        <v>1040</v>
      </c>
      <c r="C123" s="5" t="n">
        <v>2</v>
      </c>
      <c r="D123" s="5" t="s">
        <v>709</v>
      </c>
      <c r="E123" s="5" t="s">
        <v>677</v>
      </c>
      <c r="F123" s="5" t="s">
        <v>1041</v>
      </c>
      <c r="G123" s="5" t="s">
        <v>1042</v>
      </c>
      <c r="H123" s="17" t="s">
        <v>116</v>
      </c>
    </row>
    <row r="124" customFormat="false" ht="15" hidden="false" customHeight="false" outlineLevel="0" collapsed="false">
      <c r="A124" s="5" t="s">
        <v>1043</v>
      </c>
      <c r="B124" s="5" t="s">
        <v>1044</v>
      </c>
      <c r="C124" s="5" t="n">
        <v>1</v>
      </c>
      <c r="D124" s="5" t="s">
        <v>709</v>
      </c>
      <c r="E124" s="5" t="s">
        <v>677</v>
      </c>
      <c r="F124" s="5" t="s">
        <v>1045</v>
      </c>
      <c r="G124" s="5" t="s">
        <v>1046</v>
      </c>
      <c r="H124" s="17" t="s">
        <v>116</v>
      </c>
    </row>
    <row r="125" customFormat="false" ht="15" hidden="false" customHeight="false" outlineLevel="0" collapsed="false">
      <c r="A125" s="5" t="s">
        <v>1047</v>
      </c>
      <c r="B125" s="5" t="s">
        <v>1048</v>
      </c>
      <c r="C125" s="5" t="n">
        <v>1</v>
      </c>
      <c r="D125" s="5" t="s">
        <v>709</v>
      </c>
      <c r="E125" s="5" t="s">
        <v>719</v>
      </c>
      <c r="F125" s="5" t="s">
        <v>1049</v>
      </c>
      <c r="G125" s="5" t="s">
        <v>1050</v>
      </c>
      <c r="H125" s="17" t="s">
        <v>92</v>
      </c>
    </row>
    <row r="126" customFormat="false" ht="15" hidden="false" customHeight="false" outlineLevel="0" collapsed="false">
      <c r="A126" s="5" t="s">
        <v>1051</v>
      </c>
      <c r="B126" s="5" t="s">
        <v>1052</v>
      </c>
      <c r="C126" s="5" t="n">
        <v>1</v>
      </c>
      <c r="D126" s="5" t="s">
        <v>709</v>
      </c>
      <c r="E126" s="5" t="s">
        <v>677</v>
      </c>
      <c r="F126" s="5" t="s">
        <v>1053</v>
      </c>
      <c r="G126" s="5" t="s">
        <v>1054</v>
      </c>
      <c r="H126" s="17" t="s">
        <v>116</v>
      </c>
    </row>
    <row r="127" customFormat="false" ht="15" hidden="false" customHeight="false" outlineLevel="0" collapsed="false">
      <c r="A127" s="5" t="s">
        <v>1055</v>
      </c>
      <c r="B127" s="5" t="s">
        <v>1056</v>
      </c>
      <c r="C127" s="5" t="n">
        <v>1</v>
      </c>
      <c r="D127" s="5" t="s">
        <v>709</v>
      </c>
      <c r="E127" s="5" t="s">
        <v>719</v>
      </c>
      <c r="F127" s="5" t="s">
        <v>1057</v>
      </c>
      <c r="G127" s="5" t="s">
        <v>1058</v>
      </c>
      <c r="H127" s="17" t="s">
        <v>92</v>
      </c>
    </row>
    <row r="128" customFormat="false" ht="15" hidden="false" customHeight="false" outlineLevel="0" collapsed="false">
      <c r="A128" s="5" t="s">
        <v>1059</v>
      </c>
      <c r="B128" s="5" t="s">
        <v>1060</v>
      </c>
      <c r="C128" s="5" t="n">
        <v>7</v>
      </c>
      <c r="D128" s="5" t="s">
        <v>709</v>
      </c>
      <c r="E128" s="5" t="s">
        <v>677</v>
      </c>
      <c r="F128" s="5" t="s">
        <v>1061</v>
      </c>
      <c r="G128" s="5" t="s">
        <v>1062</v>
      </c>
      <c r="H128" s="17" t="s">
        <v>116</v>
      </c>
    </row>
    <row r="129" customFormat="false" ht="15" hidden="false" customHeight="false" outlineLevel="0" collapsed="false">
      <c r="A129" s="5" t="s">
        <v>1063</v>
      </c>
      <c r="B129" s="5" t="s">
        <v>1064</v>
      </c>
      <c r="C129" s="5" t="n">
        <v>2</v>
      </c>
      <c r="D129" s="5" t="s">
        <v>709</v>
      </c>
      <c r="E129" s="5" t="s">
        <v>677</v>
      </c>
      <c r="F129" s="5" t="s">
        <v>1065</v>
      </c>
      <c r="G129" s="5" t="s">
        <v>1066</v>
      </c>
      <c r="H129" s="17" t="s">
        <v>116</v>
      </c>
    </row>
    <row r="130" customFormat="false" ht="15" hidden="false" customHeight="false" outlineLevel="0" collapsed="false">
      <c r="A130" s="5" t="s">
        <v>251</v>
      </c>
      <c r="B130" s="5" t="s">
        <v>1067</v>
      </c>
      <c r="C130" s="5" t="n">
        <v>1</v>
      </c>
      <c r="D130" s="5" t="s">
        <v>709</v>
      </c>
      <c r="E130" s="5" t="s">
        <v>719</v>
      </c>
      <c r="F130" s="5" t="s">
        <v>1068</v>
      </c>
      <c r="G130" s="5" t="s">
        <v>1069</v>
      </c>
      <c r="H130" s="17" t="s">
        <v>92</v>
      </c>
    </row>
    <row r="131" customFormat="false" ht="15" hidden="false" customHeight="false" outlineLevel="0" collapsed="false">
      <c r="A131" s="5" t="s">
        <v>257</v>
      </c>
      <c r="B131" s="5" t="s">
        <v>1070</v>
      </c>
      <c r="C131" s="5" t="n">
        <v>1</v>
      </c>
      <c r="D131" s="5" t="s">
        <v>709</v>
      </c>
      <c r="E131" s="5" t="s">
        <v>719</v>
      </c>
      <c r="F131" s="5" t="s">
        <v>1071</v>
      </c>
      <c r="G131" s="5" t="s">
        <v>1072</v>
      </c>
      <c r="H131" s="17" t="s">
        <v>92</v>
      </c>
    </row>
    <row r="132" customFormat="false" ht="15" hidden="false" customHeight="false" outlineLevel="0" collapsed="false">
      <c r="A132" s="5" t="s">
        <v>1073</v>
      </c>
      <c r="B132" s="5" t="s">
        <v>1074</v>
      </c>
      <c r="C132" s="5" t="n">
        <v>4</v>
      </c>
      <c r="D132" s="5" t="s">
        <v>709</v>
      </c>
      <c r="E132" s="5" t="s">
        <v>677</v>
      </c>
      <c r="F132" s="5" t="s">
        <v>1075</v>
      </c>
      <c r="G132" s="5" t="s">
        <v>1076</v>
      </c>
      <c r="H132" s="17" t="s">
        <v>116</v>
      </c>
    </row>
    <row r="133" customFormat="false" ht="15" hidden="false" customHeight="false" outlineLevel="0" collapsed="false">
      <c r="A133" s="5" t="s">
        <v>1077</v>
      </c>
      <c r="B133" s="5" t="s">
        <v>1078</v>
      </c>
      <c r="C133" s="5" t="n">
        <v>2</v>
      </c>
      <c r="D133" s="5" t="s">
        <v>709</v>
      </c>
      <c r="E133" s="5" t="s">
        <v>677</v>
      </c>
      <c r="F133" s="5" t="s">
        <v>1079</v>
      </c>
      <c r="G133" s="5" t="s">
        <v>1080</v>
      </c>
      <c r="H133" s="17" t="s">
        <v>116</v>
      </c>
    </row>
    <row r="134" customFormat="false" ht="15" hidden="false" customHeight="false" outlineLevel="0" collapsed="false">
      <c r="A134" s="5" t="s">
        <v>1081</v>
      </c>
      <c r="B134" s="5" t="s">
        <v>1082</v>
      </c>
      <c r="C134" s="5" t="n">
        <v>2</v>
      </c>
      <c r="D134" s="5" t="s">
        <v>709</v>
      </c>
      <c r="E134" s="5" t="s">
        <v>677</v>
      </c>
      <c r="F134" s="5" t="s">
        <v>1083</v>
      </c>
      <c r="G134" s="5" t="s">
        <v>1084</v>
      </c>
      <c r="H134" s="17" t="s">
        <v>116</v>
      </c>
    </row>
    <row r="135" customFormat="false" ht="15" hidden="false" customHeight="false" outlineLevel="0" collapsed="false">
      <c r="A135" s="5" t="s">
        <v>1085</v>
      </c>
      <c r="B135" s="5" t="s">
        <v>1086</v>
      </c>
      <c r="C135" s="5" t="n">
        <v>1</v>
      </c>
      <c r="D135" s="5" t="s">
        <v>709</v>
      </c>
      <c r="E135" s="5" t="s">
        <v>719</v>
      </c>
      <c r="F135" s="5" t="s">
        <v>1087</v>
      </c>
      <c r="G135" s="5" t="s">
        <v>1088</v>
      </c>
      <c r="H135" s="17" t="s">
        <v>92</v>
      </c>
    </row>
    <row r="136" customFormat="false" ht="15" hidden="false" customHeight="false" outlineLevel="0" collapsed="false">
      <c r="A136" s="5" t="s">
        <v>1089</v>
      </c>
      <c r="B136" s="5" t="s">
        <v>1090</v>
      </c>
      <c r="C136" s="5" t="n">
        <v>1</v>
      </c>
      <c r="D136" s="5" t="s">
        <v>709</v>
      </c>
      <c r="E136" s="5" t="s">
        <v>677</v>
      </c>
      <c r="F136" s="5" t="s">
        <v>1091</v>
      </c>
      <c r="G136" s="5" t="s">
        <v>1092</v>
      </c>
      <c r="H136" s="17" t="s">
        <v>116</v>
      </c>
    </row>
    <row r="137" customFormat="false" ht="15" hidden="false" customHeight="false" outlineLevel="0" collapsed="false">
      <c r="A137" s="5" t="s">
        <v>284</v>
      </c>
      <c r="B137" s="5" t="s">
        <v>1093</v>
      </c>
      <c r="C137" s="5" t="n">
        <v>2</v>
      </c>
      <c r="D137" s="5" t="s">
        <v>709</v>
      </c>
      <c r="E137" s="5" t="s">
        <v>719</v>
      </c>
      <c r="F137" s="5" t="s">
        <v>1094</v>
      </c>
      <c r="G137" s="5" t="s">
        <v>1095</v>
      </c>
      <c r="H137" s="17" t="s">
        <v>92</v>
      </c>
    </row>
    <row r="138" customFormat="false" ht="15" hidden="false" customHeight="false" outlineLevel="0" collapsed="false">
      <c r="A138" s="5" t="s">
        <v>1096</v>
      </c>
      <c r="B138" s="5" t="s">
        <v>1097</v>
      </c>
      <c r="C138" s="5" t="n">
        <v>1</v>
      </c>
      <c r="D138" s="5" t="s">
        <v>709</v>
      </c>
      <c r="E138" s="5" t="s">
        <v>677</v>
      </c>
      <c r="F138" s="5" t="s">
        <v>1098</v>
      </c>
      <c r="G138" s="5" t="s">
        <v>1099</v>
      </c>
      <c r="H138" s="17" t="s">
        <v>116</v>
      </c>
    </row>
    <row r="139" customFormat="false" ht="15" hidden="false" customHeight="false" outlineLevel="0" collapsed="false">
      <c r="A139" s="5" t="s">
        <v>1100</v>
      </c>
      <c r="B139" s="5" t="s">
        <v>1101</v>
      </c>
      <c r="C139" s="5" t="n">
        <v>7</v>
      </c>
      <c r="D139" s="5" t="s">
        <v>709</v>
      </c>
      <c r="E139" s="5" t="s">
        <v>677</v>
      </c>
      <c r="F139" s="5" t="s">
        <v>1102</v>
      </c>
      <c r="G139" s="5" t="s">
        <v>1103</v>
      </c>
      <c r="H139" s="17" t="s">
        <v>116</v>
      </c>
    </row>
    <row r="140" customFormat="false" ht="15" hidden="false" customHeight="false" outlineLevel="0" collapsed="false">
      <c r="A140" s="5" t="s">
        <v>1104</v>
      </c>
      <c r="B140" s="5" t="s">
        <v>1105</v>
      </c>
      <c r="C140" s="5" t="n">
        <v>5</v>
      </c>
      <c r="D140" s="5" t="s">
        <v>709</v>
      </c>
      <c r="E140" s="5" t="s">
        <v>677</v>
      </c>
      <c r="F140" s="5" t="s">
        <v>1106</v>
      </c>
      <c r="G140" s="5" t="s">
        <v>1107</v>
      </c>
      <c r="H140" s="17" t="s">
        <v>116</v>
      </c>
    </row>
    <row r="141" customFormat="false" ht="15" hidden="false" customHeight="false" outlineLevel="0" collapsed="false">
      <c r="A141" s="5" t="s">
        <v>300</v>
      </c>
      <c r="B141" s="5" t="s">
        <v>1108</v>
      </c>
      <c r="C141" s="5" t="n">
        <v>1</v>
      </c>
      <c r="D141" s="5" t="s">
        <v>709</v>
      </c>
      <c r="E141" s="5" t="s">
        <v>719</v>
      </c>
      <c r="F141" s="5" t="s">
        <v>1109</v>
      </c>
      <c r="G141" s="5" t="s">
        <v>1110</v>
      </c>
      <c r="H141" s="17" t="s">
        <v>92</v>
      </c>
    </row>
    <row r="142" customFormat="false" ht="15" hidden="false" customHeight="false" outlineLevel="0" collapsed="false">
      <c r="A142" s="5" t="s">
        <v>1111</v>
      </c>
      <c r="B142" s="5" t="s">
        <v>1112</v>
      </c>
      <c r="C142" s="5" t="n">
        <v>1</v>
      </c>
      <c r="D142" s="5" t="s">
        <v>709</v>
      </c>
      <c r="E142" s="5" t="s">
        <v>719</v>
      </c>
      <c r="F142" s="5" t="s">
        <v>1113</v>
      </c>
      <c r="G142" s="5" t="s">
        <v>1114</v>
      </c>
      <c r="H142" s="17" t="s">
        <v>92</v>
      </c>
    </row>
    <row r="143" customFormat="false" ht="15" hidden="false" customHeight="false" outlineLevel="0" collapsed="false">
      <c r="A143" s="5" t="s">
        <v>1115</v>
      </c>
      <c r="B143" s="5" t="s">
        <v>1116</v>
      </c>
      <c r="C143" s="5" t="n">
        <v>1</v>
      </c>
      <c r="D143" s="5" t="s">
        <v>709</v>
      </c>
      <c r="E143" s="5" t="s">
        <v>677</v>
      </c>
      <c r="F143" s="5" t="s">
        <v>1117</v>
      </c>
      <c r="G143" s="5" t="s">
        <v>1118</v>
      </c>
      <c r="H143" s="17" t="s">
        <v>116</v>
      </c>
    </row>
    <row r="144" customFormat="false" ht="15" hidden="false" customHeight="false" outlineLevel="0" collapsed="false">
      <c r="A144" s="5" t="s">
        <v>314</v>
      </c>
      <c r="B144" s="5" t="s">
        <v>1119</v>
      </c>
      <c r="C144" s="5" t="n">
        <v>1</v>
      </c>
      <c r="D144" s="5" t="s">
        <v>709</v>
      </c>
      <c r="E144" s="5" t="s">
        <v>719</v>
      </c>
      <c r="F144" s="5" t="s">
        <v>1120</v>
      </c>
      <c r="G144" s="5" t="s">
        <v>1121</v>
      </c>
      <c r="H144" s="17" t="s">
        <v>92</v>
      </c>
    </row>
    <row r="145" customFormat="false" ht="15" hidden="false" customHeight="false" outlineLevel="0" collapsed="false">
      <c r="A145" s="5" t="s">
        <v>318</v>
      </c>
      <c r="B145" s="5" t="s">
        <v>1122</v>
      </c>
      <c r="C145" s="5" t="n">
        <v>1</v>
      </c>
      <c r="D145" s="5" t="s">
        <v>709</v>
      </c>
      <c r="E145" s="5" t="s">
        <v>719</v>
      </c>
      <c r="F145" s="5" t="s">
        <v>1123</v>
      </c>
      <c r="G145" s="5" t="s">
        <v>1124</v>
      </c>
      <c r="H145" s="17" t="s">
        <v>92</v>
      </c>
    </row>
    <row r="146" customFormat="false" ht="15" hidden="false" customHeight="false" outlineLevel="0" collapsed="false">
      <c r="A146" s="5" t="s">
        <v>1125</v>
      </c>
      <c r="B146" s="5" t="s">
        <v>1126</v>
      </c>
      <c r="C146" s="5" t="n">
        <v>2</v>
      </c>
      <c r="D146" s="5" t="s">
        <v>709</v>
      </c>
      <c r="E146" s="5" t="s">
        <v>677</v>
      </c>
      <c r="F146" s="5" t="s">
        <v>1127</v>
      </c>
      <c r="G146" s="5" t="s">
        <v>1128</v>
      </c>
      <c r="H146" s="17" t="s">
        <v>116</v>
      </c>
    </row>
    <row r="147" customFormat="false" ht="15" hidden="false" customHeight="false" outlineLevel="0" collapsed="false">
      <c r="A147" s="5" t="s">
        <v>1129</v>
      </c>
      <c r="B147" s="5" t="s">
        <v>1130</v>
      </c>
      <c r="C147" s="5" t="n">
        <v>2</v>
      </c>
      <c r="D147" s="5" t="s">
        <v>709</v>
      </c>
      <c r="E147" s="5" t="s">
        <v>677</v>
      </c>
      <c r="F147" s="5" t="s">
        <v>1131</v>
      </c>
      <c r="G147" s="5" t="s">
        <v>1132</v>
      </c>
      <c r="H147" s="17" t="s">
        <v>116</v>
      </c>
    </row>
    <row r="148" customFormat="false" ht="15" hidden="false" customHeight="false" outlineLevel="0" collapsed="false">
      <c r="A148" s="5" t="s">
        <v>1133</v>
      </c>
      <c r="B148" s="5" t="s">
        <v>1134</v>
      </c>
      <c r="C148" s="5" t="n">
        <v>2</v>
      </c>
      <c r="D148" s="5" t="s">
        <v>709</v>
      </c>
      <c r="E148" s="5" t="s">
        <v>677</v>
      </c>
      <c r="F148" s="5" t="s">
        <v>1135</v>
      </c>
      <c r="G148" s="5" t="s">
        <v>1136</v>
      </c>
      <c r="H148" s="17" t="s">
        <v>116</v>
      </c>
    </row>
    <row r="149" customFormat="false" ht="15" hidden="false" customHeight="false" outlineLevel="0" collapsed="false">
      <c r="A149" s="5" t="s">
        <v>1137</v>
      </c>
      <c r="B149" s="5" t="s">
        <v>1138</v>
      </c>
      <c r="C149" s="5" t="n">
        <v>1</v>
      </c>
      <c r="D149" s="5" t="s">
        <v>709</v>
      </c>
      <c r="E149" s="5" t="s">
        <v>719</v>
      </c>
      <c r="F149" s="5" t="s">
        <v>1139</v>
      </c>
      <c r="G149" s="5" t="s">
        <v>1140</v>
      </c>
      <c r="H149" s="17" t="s">
        <v>92</v>
      </c>
    </row>
    <row r="150" customFormat="false" ht="15" hidden="false" customHeight="false" outlineLevel="0" collapsed="false">
      <c r="A150" s="5" t="s">
        <v>1141</v>
      </c>
      <c r="B150" s="5" t="s">
        <v>1142</v>
      </c>
      <c r="C150" s="5" t="n">
        <v>4</v>
      </c>
      <c r="D150" s="5" t="s">
        <v>709</v>
      </c>
      <c r="E150" s="5" t="s">
        <v>677</v>
      </c>
      <c r="F150" s="5" t="s">
        <v>1143</v>
      </c>
      <c r="G150" s="5" t="s">
        <v>1144</v>
      </c>
      <c r="H150" s="17" t="s">
        <v>116</v>
      </c>
    </row>
    <row r="151" customFormat="false" ht="15" hidden="false" customHeight="false" outlineLevel="0" collapsed="false">
      <c r="A151" s="5" t="s">
        <v>1145</v>
      </c>
      <c r="B151" s="5" t="s">
        <v>1146</v>
      </c>
      <c r="C151" s="5" t="n">
        <v>1</v>
      </c>
      <c r="D151" s="5" t="s">
        <v>709</v>
      </c>
      <c r="E151" s="5" t="s">
        <v>677</v>
      </c>
      <c r="F151" s="5" t="s">
        <v>1147</v>
      </c>
      <c r="G151" s="5" t="s">
        <v>1148</v>
      </c>
      <c r="H151" s="17" t="s">
        <v>116</v>
      </c>
    </row>
    <row r="152" customFormat="false" ht="15" hidden="false" customHeight="false" outlineLevel="0" collapsed="false">
      <c r="A152" s="5" t="s">
        <v>1149</v>
      </c>
      <c r="B152" s="5" t="s">
        <v>1150</v>
      </c>
      <c r="C152" s="5" t="n">
        <v>1</v>
      </c>
      <c r="D152" s="5" t="s">
        <v>709</v>
      </c>
      <c r="E152" s="5" t="s">
        <v>719</v>
      </c>
      <c r="F152" s="5" t="s">
        <v>1151</v>
      </c>
      <c r="G152" s="5" t="s">
        <v>1152</v>
      </c>
      <c r="H152" s="17" t="s">
        <v>92</v>
      </c>
    </row>
    <row r="153" customFormat="false" ht="15" hidden="false" customHeight="false" outlineLevel="0" collapsed="false">
      <c r="A153" s="5" t="s">
        <v>1153</v>
      </c>
      <c r="B153" s="5" t="s">
        <v>1154</v>
      </c>
      <c r="C153" s="5" t="n">
        <v>3</v>
      </c>
      <c r="D153" s="5" t="s">
        <v>709</v>
      </c>
      <c r="E153" s="5" t="s">
        <v>677</v>
      </c>
      <c r="F153" s="5" t="s">
        <v>1155</v>
      </c>
      <c r="G153" s="5" t="s">
        <v>1156</v>
      </c>
      <c r="H153" s="17" t="s">
        <v>116</v>
      </c>
    </row>
    <row r="154" customFormat="false" ht="15" hidden="false" customHeight="false" outlineLevel="0" collapsed="false">
      <c r="A154" s="5" t="s">
        <v>1157</v>
      </c>
      <c r="B154" s="5" t="s">
        <v>1158</v>
      </c>
      <c r="C154" s="5" t="n">
        <v>1</v>
      </c>
      <c r="D154" s="5" t="s">
        <v>709</v>
      </c>
      <c r="E154" s="5" t="s">
        <v>677</v>
      </c>
      <c r="F154" s="5" t="s">
        <v>1159</v>
      </c>
      <c r="G154" s="5" t="s">
        <v>1160</v>
      </c>
      <c r="H154" s="17" t="s">
        <v>116</v>
      </c>
    </row>
    <row r="155" customFormat="false" ht="15" hidden="false" customHeight="false" outlineLevel="0" collapsed="false">
      <c r="A155" s="5" t="s">
        <v>369</v>
      </c>
      <c r="B155" s="5" t="s">
        <v>1161</v>
      </c>
      <c r="C155" s="5" t="n">
        <v>1</v>
      </c>
      <c r="D155" s="5" t="s">
        <v>709</v>
      </c>
      <c r="E155" s="5" t="s">
        <v>719</v>
      </c>
      <c r="F155" s="5" t="s">
        <v>1162</v>
      </c>
      <c r="G155" s="5" t="s">
        <v>1163</v>
      </c>
      <c r="H155" s="17" t="s">
        <v>92</v>
      </c>
    </row>
    <row r="156" customFormat="false" ht="15" hidden="false" customHeight="false" outlineLevel="0" collapsed="false">
      <c r="A156" s="5" t="s">
        <v>1164</v>
      </c>
      <c r="B156" s="5" t="s">
        <v>1165</v>
      </c>
      <c r="C156" s="5" t="n">
        <v>3</v>
      </c>
      <c r="D156" s="5" t="s">
        <v>709</v>
      </c>
      <c r="E156" s="5" t="s">
        <v>677</v>
      </c>
      <c r="F156" s="5" t="s">
        <v>1166</v>
      </c>
      <c r="G156" s="5" t="s">
        <v>1167</v>
      </c>
      <c r="H156" s="17" t="s">
        <v>116</v>
      </c>
    </row>
    <row r="157" customFormat="false" ht="15" hidden="false" customHeight="false" outlineLevel="0" collapsed="false">
      <c r="A157" s="5" t="s">
        <v>1168</v>
      </c>
      <c r="B157" s="5" t="s">
        <v>1169</v>
      </c>
      <c r="C157" s="5" t="n">
        <v>1</v>
      </c>
      <c r="D157" s="5" t="s">
        <v>709</v>
      </c>
      <c r="E157" s="5" t="s">
        <v>677</v>
      </c>
      <c r="F157" s="5" t="s">
        <v>1170</v>
      </c>
      <c r="G157" s="5" t="s">
        <v>1171</v>
      </c>
      <c r="H157" s="17" t="s">
        <v>116</v>
      </c>
    </row>
    <row r="158" customFormat="false" ht="15" hidden="false" customHeight="false" outlineLevel="0" collapsed="false">
      <c r="A158" s="5" t="s">
        <v>1172</v>
      </c>
      <c r="B158" s="5" t="s">
        <v>1173</v>
      </c>
      <c r="C158" s="5" t="n">
        <v>1</v>
      </c>
      <c r="D158" s="5" t="s">
        <v>709</v>
      </c>
      <c r="E158" s="5" t="s">
        <v>719</v>
      </c>
      <c r="F158" s="5" t="s">
        <v>1174</v>
      </c>
      <c r="G158" s="5" t="s">
        <v>1175</v>
      </c>
      <c r="H158" s="17" t="s">
        <v>92</v>
      </c>
    </row>
    <row r="159" customFormat="false" ht="15" hidden="false" customHeight="false" outlineLevel="0" collapsed="false">
      <c r="A159" s="5" t="s">
        <v>1176</v>
      </c>
      <c r="B159" s="5" t="s">
        <v>1177</v>
      </c>
      <c r="C159" s="5" t="n">
        <v>1</v>
      </c>
      <c r="D159" s="5" t="s">
        <v>709</v>
      </c>
      <c r="E159" s="5" t="s">
        <v>677</v>
      </c>
      <c r="F159" s="5" t="s">
        <v>1178</v>
      </c>
      <c r="G159" s="5" t="s">
        <v>1179</v>
      </c>
      <c r="H159" s="17" t="s">
        <v>116</v>
      </c>
    </row>
    <row r="160" customFormat="false" ht="15" hidden="false" customHeight="false" outlineLevel="0" collapsed="false">
      <c r="A160" s="5" t="s">
        <v>1180</v>
      </c>
      <c r="B160" s="5" t="s">
        <v>1181</v>
      </c>
      <c r="C160" s="5" t="n">
        <v>1</v>
      </c>
      <c r="D160" s="5" t="s">
        <v>709</v>
      </c>
      <c r="E160" s="5" t="s">
        <v>677</v>
      </c>
      <c r="F160" s="5" t="s">
        <v>1182</v>
      </c>
      <c r="G160" s="5" t="s">
        <v>1183</v>
      </c>
      <c r="H160" s="17" t="s">
        <v>116</v>
      </c>
    </row>
    <row r="161" customFormat="false" ht="15" hidden="false" customHeight="false" outlineLevel="0" collapsed="false">
      <c r="A161" s="5" t="s">
        <v>395</v>
      </c>
      <c r="B161" s="5" t="s">
        <v>1184</v>
      </c>
      <c r="C161" s="5" t="n">
        <v>1</v>
      </c>
      <c r="D161" s="5" t="s">
        <v>709</v>
      </c>
      <c r="E161" s="5" t="s">
        <v>719</v>
      </c>
      <c r="F161" s="5" t="s">
        <v>1185</v>
      </c>
      <c r="G161" s="5" t="s">
        <v>1186</v>
      </c>
      <c r="H161" s="17" t="s">
        <v>92</v>
      </c>
    </row>
    <row r="162" customFormat="false" ht="15" hidden="false" customHeight="false" outlineLevel="0" collapsed="false">
      <c r="A162" s="5" t="s">
        <v>1187</v>
      </c>
      <c r="B162" s="5" t="s">
        <v>1188</v>
      </c>
      <c r="C162" s="5" t="n">
        <v>3</v>
      </c>
      <c r="D162" s="5" t="s">
        <v>709</v>
      </c>
      <c r="E162" s="5" t="s">
        <v>677</v>
      </c>
      <c r="F162" s="5" t="s">
        <v>1189</v>
      </c>
      <c r="G162" s="5" t="s">
        <v>1190</v>
      </c>
      <c r="H162" s="17" t="s">
        <v>116</v>
      </c>
    </row>
    <row r="163" customFormat="false" ht="15" hidden="false" customHeight="false" outlineLevel="0" collapsed="false">
      <c r="A163" s="5" t="s">
        <v>1191</v>
      </c>
      <c r="B163" s="5" t="s">
        <v>1192</v>
      </c>
      <c r="C163" s="5" t="n">
        <v>2</v>
      </c>
      <c r="D163" s="5" t="s">
        <v>709</v>
      </c>
      <c r="E163" s="5" t="s">
        <v>677</v>
      </c>
      <c r="F163" s="5" t="s">
        <v>1193</v>
      </c>
      <c r="G163" s="5" t="s">
        <v>1194</v>
      </c>
      <c r="H163" s="17" t="s">
        <v>116</v>
      </c>
    </row>
    <row r="164" customFormat="false" ht="15" hidden="false" customHeight="false" outlineLevel="0" collapsed="false">
      <c r="A164" s="5" t="s">
        <v>412</v>
      </c>
      <c r="B164" s="5" t="s">
        <v>1195</v>
      </c>
      <c r="C164" s="5" t="n">
        <v>2</v>
      </c>
      <c r="D164" s="5" t="s">
        <v>709</v>
      </c>
      <c r="E164" s="5" t="s">
        <v>719</v>
      </c>
      <c r="F164" s="5" t="s">
        <v>1196</v>
      </c>
      <c r="G164" s="5" t="s">
        <v>1197</v>
      </c>
      <c r="H164" s="17" t="s">
        <v>92</v>
      </c>
    </row>
    <row r="165" customFormat="false" ht="15" hidden="false" customHeight="false" outlineLevel="0" collapsed="false">
      <c r="A165" s="5" t="s">
        <v>1198</v>
      </c>
      <c r="B165" s="5" t="s">
        <v>1199</v>
      </c>
      <c r="C165" s="5" t="n">
        <v>2</v>
      </c>
      <c r="D165" s="5" t="s">
        <v>709</v>
      </c>
      <c r="E165" s="5" t="s">
        <v>677</v>
      </c>
      <c r="F165" s="5" t="s">
        <v>1200</v>
      </c>
      <c r="G165" s="5" t="s">
        <v>1201</v>
      </c>
      <c r="H165" s="17" t="s">
        <v>116</v>
      </c>
    </row>
    <row r="166" customFormat="false" ht="15" hidden="false" customHeight="false" outlineLevel="0" collapsed="false">
      <c r="A166" s="5" t="s">
        <v>1202</v>
      </c>
      <c r="B166" s="5" t="s">
        <v>1203</v>
      </c>
      <c r="C166" s="5" t="n">
        <v>1</v>
      </c>
      <c r="D166" s="5" t="s">
        <v>709</v>
      </c>
      <c r="E166" s="5" t="s">
        <v>719</v>
      </c>
      <c r="F166" s="5" t="s">
        <v>1204</v>
      </c>
      <c r="G166" s="5" t="s">
        <v>1205</v>
      </c>
      <c r="H166" s="17" t="s">
        <v>92</v>
      </c>
    </row>
    <row r="167" customFormat="false" ht="46.25" hidden="false" customHeight="false" outlineLevel="0" collapsed="false">
      <c r="A167" s="5" t="s">
        <v>1206</v>
      </c>
      <c r="B167" s="5" t="s">
        <v>1207</v>
      </c>
      <c r="C167" s="5" t="s">
        <v>1208</v>
      </c>
      <c r="D167" s="5" t="s">
        <v>1014</v>
      </c>
      <c r="E167" s="5" t="s">
        <v>719</v>
      </c>
      <c r="F167" s="5" t="s">
        <v>1209</v>
      </c>
      <c r="G167" s="5" t="s">
        <v>1210</v>
      </c>
      <c r="H167" s="17" t="s">
        <v>92</v>
      </c>
    </row>
    <row r="168" customFormat="false" ht="15" hidden="false" customHeight="false" outlineLevel="0" collapsed="false">
      <c r="A168" s="5" t="s">
        <v>1211</v>
      </c>
      <c r="B168" s="5" t="s">
        <v>1212</v>
      </c>
      <c r="C168" s="5" t="n">
        <v>1</v>
      </c>
      <c r="D168" s="5" t="s">
        <v>709</v>
      </c>
      <c r="E168" s="5" t="s">
        <v>719</v>
      </c>
      <c r="F168" s="5" t="s">
        <v>1213</v>
      </c>
      <c r="G168" s="5" t="s">
        <v>1214</v>
      </c>
      <c r="H168" s="17" t="s">
        <v>92</v>
      </c>
    </row>
    <row r="169" customFormat="false" ht="46.25" hidden="false" customHeight="false" outlineLevel="0" collapsed="false">
      <c r="A169" s="5" t="s">
        <v>1215</v>
      </c>
      <c r="B169" s="5" t="s">
        <v>1216</v>
      </c>
      <c r="C169" s="5" t="s">
        <v>1217</v>
      </c>
      <c r="D169" s="5" t="s">
        <v>1014</v>
      </c>
      <c r="E169" s="5" t="s">
        <v>719</v>
      </c>
      <c r="F169" s="5" t="s">
        <v>1218</v>
      </c>
      <c r="G169" s="5" t="s">
        <v>1219</v>
      </c>
      <c r="H169" s="17" t="s">
        <v>92</v>
      </c>
    </row>
    <row r="170" customFormat="false" ht="15" hidden="false" customHeight="false" outlineLevel="0" collapsed="false">
      <c r="A170" s="5" t="s">
        <v>1220</v>
      </c>
      <c r="B170" s="5" t="s">
        <v>1221</v>
      </c>
      <c r="C170" s="5" t="n">
        <v>1</v>
      </c>
      <c r="D170" s="5" t="s">
        <v>709</v>
      </c>
      <c r="E170" s="5" t="s">
        <v>677</v>
      </c>
      <c r="F170" s="5" t="s">
        <v>1222</v>
      </c>
      <c r="G170" s="5" t="s">
        <v>1223</v>
      </c>
      <c r="H170" s="17" t="s">
        <v>116</v>
      </c>
    </row>
    <row r="171" customFormat="false" ht="46.25" hidden="false" customHeight="false" outlineLevel="0" collapsed="false">
      <c r="A171" s="5" t="s">
        <v>1224</v>
      </c>
      <c r="B171" s="5" t="s">
        <v>1225</v>
      </c>
      <c r="C171" s="5" t="s">
        <v>1226</v>
      </c>
      <c r="D171" s="5" t="s">
        <v>1014</v>
      </c>
      <c r="E171" s="5" t="s">
        <v>1015</v>
      </c>
      <c r="F171" s="5" t="s">
        <v>1227</v>
      </c>
      <c r="G171" s="5" t="s">
        <v>1228</v>
      </c>
      <c r="H171" s="17" t="s">
        <v>1018</v>
      </c>
    </row>
    <row r="172" customFormat="false" ht="15" hidden="false" customHeight="false" outlineLevel="0" collapsed="false">
      <c r="A172" s="5" t="s">
        <v>1229</v>
      </c>
      <c r="B172" s="5" t="s">
        <v>1230</v>
      </c>
      <c r="C172" s="5" t="n">
        <v>1</v>
      </c>
      <c r="D172" s="5" t="s">
        <v>709</v>
      </c>
      <c r="E172" s="5" t="s">
        <v>677</v>
      </c>
      <c r="F172" s="5" t="s">
        <v>1231</v>
      </c>
      <c r="G172" s="5" t="s">
        <v>1232</v>
      </c>
      <c r="H172" s="17" t="s">
        <v>116</v>
      </c>
    </row>
    <row r="173" customFormat="false" ht="15" hidden="false" customHeight="false" outlineLevel="0" collapsed="false">
      <c r="A173" s="5" t="s">
        <v>1233</v>
      </c>
      <c r="B173" s="5" t="s">
        <v>1234</v>
      </c>
      <c r="C173" s="5" t="n">
        <v>2</v>
      </c>
      <c r="D173" s="5" t="s">
        <v>709</v>
      </c>
      <c r="E173" s="5" t="s">
        <v>719</v>
      </c>
      <c r="F173" s="5" t="s">
        <v>1235</v>
      </c>
      <c r="G173" s="5" t="s">
        <v>1236</v>
      </c>
      <c r="H173" s="17" t="s">
        <v>92</v>
      </c>
    </row>
    <row r="174" customFormat="false" ht="15" hidden="false" customHeight="false" outlineLevel="0" collapsed="false">
      <c r="A174" s="5" t="s">
        <v>1237</v>
      </c>
      <c r="B174" s="5" t="s">
        <v>1238</v>
      </c>
      <c r="C174" s="5" t="n">
        <v>3</v>
      </c>
      <c r="D174" s="5" t="s">
        <v>709</v>
      </c>
      <c r="E174" s="5" t="s">
        <v>677</v>
      </c>
      <c r="F174" s="5" t="s">
        <v>1239</v>
      </c>
      <c r="G174" s="5" t="s">
        <v>1240</v>
      </c>
      <c r="H174" s="17" t="s">
        <v>116</v>
      </c>
    </row>
    <row r="175" customFormat="false" ht="15" hidden="false" customHeight="false" outlineLevel="0" collapsed="false">
      <c r="A175" s="5" t="s">
        <v>1241</v>
      </c>
      <c r="B175" s="5" t="s">
        <v>1242</v>
      </c>
      <c r="C175" s="5" t="n">
        <v>2</v>
      </c>
      <c r="D175" s="5" t="s">
        <v>709</v>
      </c>
      <c r="E175" s="5" t="s">
        <v>719</v>
      </c>
      <c r="F175" s="5" t="s">
        <v>1243</v>
      </c>
      <c r="G175" s="5" t="s">
        <v>1244</v>
      </c>
      <c r="H175" s="17" t="s">
        <v>92</v>
      </c>
    </row>
    <row r="176" customFormat="false" ht="15" hidden="false" customHeight="false" outlineLevel="0" collapsed="false">
      <c r="A176" s="5" t="s">
        <v>1245</v>
      </c>
      <c r="B176" s="5" t="s">
        <v>1246</v>
      </c>
      <c r="C176" s="5" t="n">
        <v>1</v>
      </c>
      <c r="D176" s="5" t="s">
        <v>709</v>
      </c>
      <c r="E176" s="5" t="s">
        <v>719</v>
      </c>
      <c r="F176" s="5" t="s">
        <v>1247</v>
      </c>
      <c r="G176" s="5" t="s">
        <v>1248</v>
      </c>
      <c r="H176" s="17" t="s">
        <v>92</v>
      </c>
    </row>
    <row r="177" customFormat="false" ht="15" hidden="false" customHeight="false" outlineLevel="0" collapsed="false">
      <c r="A177" s="5" t="s">
        <v>1249</v>
      </c>
      <c r="B177" s="5" t="s">
        <v>1250</v>
      </c>
      <c r="C177" s="5" t="n">
        <v>3</v>
      </c>
      <c r="D177" s="5" t="s">
        <v>709</v>
      </c>
      <c r="E177" s="5" t="s">
        <v>677</v>
      </c>
      <c r="F177" s="5" t="s">
        <v>1251</v>
      </c>
      <c r="G177" s="5" t="s">
        <v>1252</v>
      </c>
      <c r="H177" s="17" t="s">
        <v>116</v>
      </c>
    </row>
    <row r="178" customFormat="false" ht="15" hidden="false" customHeight="false" outlineLevel="0" collapsed="false">
      <c r="A178" s="5" t="s">
        <v>1253</v>
      </c>
      <c r="B178" s="5" t="s">
        <v>1254</v>
      </c>
      <c r="C178" s="5" t="n">
        <v>4</v>
      </c>
      <c r="D178" s="5" t="s">
        <v>709</v>
      </c>
      <c r="E178" s="5" t="s">
        <v>719</v>
      </c>
      <c r="F178" s="5" t="s">
        <v>1255</v>
      </c>
      <c r="G178" s="5" t="s">
        <v>1256</v>
      </c>
      <c r="H178" s="17" t="s">
        <v>92</v>
      </c>
    </row>
    <row r="179" customFormat="false" ht="15" hidden="false" customHeight="false" outlineLevel="0" collapsed="false">
      <c r="A179" s="5" t="s">
        <v>1257</v>
      </c>
      <c r="B179" s="5" t="s">
        <v>1258</v>
      </c>
      <c r="C179" s="5" t="n">
        <v>1</v>
      </c>
      <c r="D179" s="5" t="s">
        <v>709</v>
      </c>
      <c r="E179" s="5" t="s">
        <v>719</v>
      </c>
      <c r="F179" s="5" t="s">
        <v>1259</v>
      </c>
      <c r="G179" s="5" t="s">
        <v>1260</v>
      </c>
      <c r="H179" s="17" t="s">
        <v>92</v>
      </c>
    </row>
    <row r="180" customFormat="false" ht="15" hidden="false" customHeight="false" outlineLevel="0" collapsed="false">
      <c r="A180" s="5" t="s">
        <v>1261</v>
      </c>
      <c r="B180" s="5" t="s">
        <v>1262</v>
      </c>
      <c r="C180" s="5" t="n">
        <v>3</v>
      </c>
      <c r="D180" s="5" t="s">
        <v>709</v>
      </c>
      <c r="E180" s="5" t="s">
        <v>677</v>
      </c>
      <c r="F180" s="5" t="s">
        <v>1263</v>
      </c>
      <c r="G180" s="5" t="s">
        <v>1264</v>
      </c>
      <c r="H180" s="17" t="s">
        <v>116</v>
      </c>
    </row>
    <row r="181" customFormat="false" ht="15" hidden="false" customHeight="false" outlineLevel="0" collapsed="false">
      <c r="A181" s="5" t="s">
        <v>1265</v>
      </c>
      <c r="B181" s="5" t="s">
        <v>1266</v>
      </c>
      <c r="C181" s="5" t="n">
        <v>1</v>
      </c>
      <c r="D181" s="5" t="s">
        <v>709</v>
      </c>
      <c r="E181" s="5" t="s">
        <v>719</v>
      </c>
      <c r="F181" s="5" t="s">
        <v>1267</v>
      </c>
      <c r="G181" s="5" t="s">
        <v>1268</v>
      </c>
      <c r="H181" s="17" t="s">
        <v>92</v>
      </c>
    </row>
    <row r="182" customFormat="false" ht="46.25" hidden="false" customHeight="false" outlineLevel="0" collapsed="false">
      <c r="A182" s="5" t="s">
        <v>1269</v>
      </c>
      <c r="B182" s="5" t="s">
        <v>1270</v>
      </c>
      <c r="C182" s="5" t="s">
        <v>1271</v>
      </c>
      <c r="D182" s="5" t="s">
        <v>1014</v>
      </c>
      <c r="E182" s="5" t="s">
        <v>1015</v>
      </c>
      <c r="F182" s="5" t="s">
        <v>1272</v>
      </c>
      <c r="G182" s="5" t="s">
        <v>1273</v>
      </c>
      <c r="H182" s="17" t="s">
        <v>1018</v>
      </c>
    </row>
    <row r="183" customFormat="false" ht="15" hidden="false" customHeight="false" outlineLevel="0" collapsed="false">
      <c r="A183" s="5" t="s">
        <v>1274</v>
      </c>
      <c r="B183" s="5" t="s">
        <v>1275</v>
      </c>
      <c r="C183" s="6" t="n">
        <v>7.355798219</v>
      </c>
      <c r="D183" s="5" t="s">
        <v>1276</v>
      </c>
      <c r="E183" s="5" t="s">
        <v>677</v>
      </c>
      <c r="F183" s="5" t="s">
        <v>1277</v>
      </c>
      <c r="G183" s="5" t="s">
        <v>1278</v>
      </c>
      <c r="H183" s="17" t="s">
        <v>116</v>
      </c>
    </row>
    <row r="184" customFormat="false" ht="15" hidden="false" customHeight="false" outlineLevel="0" collapsed="false">
      <c r="A184" s="5" t="s">
        <v>1279</v>
      </c>
      <c r="B184" s="5" t="s">
        <v>1280</v>
      </c>
      <c r="C184" s="5" t="n">
        <v>1</v>
      </c>
      <c r="D184" s="5" t="s">
        <v>709</v>
      </c>
      <c r="E184" s="5" t="s">
        <v>719</v>
      </c>
      <c r="F184" s="5" t="s">
        <v>1281</v>
      </c>
      <c r="G184" s="5" t="s">
        <v>1282</v>
      </c>
      <c r="H184" s="17" t="s">
        <v>92</v>
      </c>
    </row>
    <row r="185" customFormat="false" ht="15" hidden="false" customHeight="false" outlineLevel="0" collapsed="false">
      <c r="A185" s="5" t="s">
        <v>1283</v>
      </c>
      <c r="B185" s="5" t="s">
        <v>1284</v>
      </c>
      <c r="C185" s="6" t="n">
        <v>0.49392</v>
      </c>
      <c r="D185" s="5" t="s">
        <v>1276</v>
      </c>
      <c r="E185" s="5" t="s">
        <v>677</v>
      </c>
      <c r="F185" s="5" t="s">
        <v>1285</v>
      </c>
      <c r="G185" s="5" t="s">
        <v>1286</v>
      </c>
      <c r="H185" s="17" t="s">
        <v>116</v>
      </c>
    </row>
    <row r="186" customFormat="false" ht="15" hidden="false" customHeight="false" outlineLevel="0" collapsed="false">
      <c r="A186" s="5" t="s">
        <v>1287</v>
      </c>
      <c r="B186" s="5" t="s">
        <v>1288</v>
      </c>
      <c r="C186" s="5" t="n">
        <v>1</v>
      </c>
      <c r="D186" s="5" t="s">
        <v>709</v>
      </c>
      <c r="E186" s="5" t="s">
        <v>719</v>
      </c>
      <c r="F186" s="5" t="s">
        <v>1289</v>
      </c>
      <c r="G186" s="5" t="s">
        <v>1290</v>
      </c>
      <c r="H186" s="17" t="s">
        <v>92</v>
      </c>
    </row>
    <row r="187" customFormat="false" ht="15" hidden="false" customHeight="false" outlineLevel="0" collapsed="false">
      <c r="A187" s="5" t="s">
        <v>459</v>
      </c>
      <c r="B187" s="5" t="s">
        <v>1291</v>
      </c>
      <c r="C187" s="5" t="n">
        <v>1</v>
      </c>
      <c r="D187" s="5" t="s">
        <v>709</v>
      </c>
      <c r="E187" s="5" t="s">
        <v>719</v>
      </c>
      <c r="F187" s="5" t="s">
        <v>1292</v>
      </c>
      <c r="G187" s="5" t="s">
        <v>1293</v>
      </c>
      <c r="H187" s="17" t="s">
        <v>92</v>
      </c>
    </row>
    <row r="188" customFormat="false" ht="15" hidden="false" customHeight="false" outlineLevel="0" collapsed="false">
      <c r="A188" s="5" t="s">
        <v>1294</v>
      </c>
      <c r="B188" s="5" t="s">
        <v>1295</v>
      </c>
      <c r="C188" s="6" t="n">
        <v>0.6603059533</v>
      </c>
      <c r="D188" s="5" t="s">
        <v>1276</v>
      </c>
      <c r="E188" s="5" t="s">
        <v>677</v>
      </c>
      <c r="F188" s="5" t="s">
        <v>1296</v>
      </c>
      <c r="G188" s="5" t="s">
        <v>1297</v>
      </c>
      <c r="H188" s="17" t="s">
        <v>116</v>
      </c>
    </row>
    <row r="189" customFormat="false" ht="15" hidden="false" customHeight="false" outlineLevel="0" collapsed="false">
      <c r="A189" s="5" t="s">
        <v>1298</v>
      </c>
      <c r="B189" s="5" t="s">
        <v>1299</v>
      </c>
      <c r="C189" s="5" t="n">
        <v>1</v>
      </c>
      <c r="D189" s="5" t="s">
        <v>709</v>
      </c>
      <c r="E189" s="5" t="s">
        <v>719</v>
      </c>
      <c r="F189" s="5" t="s">
        <v>1300</v>
      </c>
      <c r="G189" s="5" t="s">
        <v>1301</v>
      </c>
      <c r="H189" s="17" t="s">
        <v>92</v>
      </c>
    </row>
    <row r="190" customFormat="false" ht="15" hidden="false" customHeight="false" outlineLevel="0" collapsed="false">
      <c r="A190" s="5" t="s">
        <v>1302</v>
      </c>
      <c r="B190" s="5" t="s">
        <v>1303</v>
      </c>
      <c r="C190" s="6" t="n">
        <v>3.07328</v>
      </c>
      <c r="D190" s="5" t="s">
        <v>1276</v>
      </c>
      <c r="E190" s="5" t="s">
        <v>677</v>
      </c>
      <c r="F190" s="5" t="s">
        <v>1304</v>
      </c>
      <c r="G190" s="5" t="s">
        <v>1305</v>
      </c>
      <c r="H190" s="17" t="s">
        <v>116</v>
      </c>
    </row>
    <row r="191" customFormat="false" ht="15" hidden="false" customHeight="false" outlineLevel="0" collapsed="false">
      <c r="A191" s="5" t="s">
        <v>1306</v>
      </c>
      <c r="B191" s="5" t="s">
        <v>1307</v>
      </c>
      <c r="C191" s="5" t="n">
        <v>1</v>
      </c>
      <c r="D191" s="5" t="s">
        <v>709</v>
      </c>
      <c r="E191" s="5" t="s">
        <v>719</v>
      </c>
      <c r="F191" s="5" t="s">
        <v>1308</v>
      </c>
      <c r="G191" s="5" t="s">
        <v>1309</v>
      </c>
      <c r="H191" s="17" t="s">
        <v>92</v>
      </c>
    </row>
    <row r="192" customFormat="false" ht="15" hidden="false" customHeight="false" outlineLevel="0" collapsed="false">
      <c r="A192" s="5" t="s">
        <v>1310</v>
      </c>
      <c r="B192" s="5" t="s">
        <v>1311</v>
      </c>
      <c r="C192" s="6" t="n">
        <v>0.24696</v>
      </c>
      <c r="D192" s="5" t="s">
        <v>1276</v>
      </c>
      <c r="E192" s="5" t="s">
        <v>677</v>
      </c>
      <c r="F192" s="5" t="s">
        <v>1312</v>
      </c>
      <c r="G192" s="5" t="s">
        <v>1313</v>
      </c>
      <c r="H192" s="17" t="s">
        <v>116</v>
      </c>
    </row>
    <row r="193" customFormat="false" ht="15" hidden="false" customHeight="false" outlineLevel="0" collapsed="false">
      <c r="A193" s="5" t="s">
        <v>483</v>
      </c>
      <c r="B193" s="5" t="s">
        <v>1314</v>
      </c>
      <c r="C193" s="5" t="n">
        <v>1</v>
      </c>
      <c r="D193" s="5" t="s">
        <v>709</v>
      </c>
      <c r="E193" s="5" t="s">
        <v>719</v>
      </c>
      <c r="F193" s="5" t="s">
        <v>1315</v>
      </c>
      <c r="G193" s="5" t="s">
        <v>1316</v>
      </c>
      <c r="H193" s="17" t="s">
        <v>92</v>
      </c>
    </row>
    <row r="194" customFormat="false" ht="15" hidden="false" customHeight="false" outlineLevel="0" collapsed="false">
      <c r="A194" s="5" t="s">
        <v>1317</v>
      </c>
      <c r="B194" s="5" t="s">
        <v>1318</v>
      </c>
      <c r="C194" s="6" t="n">
        <v>17.71</v>
      </c>
      <c r="D194" s="5" t="s">
        <v>1276</v>
      </c>
      <c r="E194" s="5" t="s">
        <v>677</v>
      </c>
      <c r="F194" s="5" t="s">
        <v>1319</v>
      </c>
      <c r="G194" s="5" t="s">
        <v>1320</v>
      </c>
      <c r="H194" s="17" t="s">
        <v>116</v>
      </c>
    </row>
    <row r="195" customFormat="false" ht="15" hidden="false" customHeight="false" outlineLevel="0" collapsed="false">
      <c r="A195" s="5" t="s">
        <v>1321</v>
      </c>
      <c r="B195" s="5" t="s">
        <v>1322</v>
      </c>
      <c r="C195" s="6" t="n">
        <v>17.71</v>
      </c>
      <c r="D195" s="5" t="s">
        <v>1276</v>
      </c>
      <c r="E195" s="5" t="s">
        <v>677</v>
      </c>
      <c r="F195" s="5" t="s">
        <v>1323</v>
      </c>
      <c r="G195" s="5" t="s">
        <v>1324</v>
      </c>
      <c r="H195" s="17" t="s">
        <v>116</v>
      </c>
    </row>
    <row r="196" customFormat="false" ht="15" hidden="false" customHeight="false" outlineLevel="0" collapsed="false">
      <c r="A196" s="5" t="s">
        <v>1325</v>
      </c>
      <c r="B196" s="5" t="s">
        <v>1326</v>
      </c>
      <c r="C196" s="5" t="n">
        <v>1</v>
      </c>
      <c r="D196" s="5" t="s">
        <v>709</v>
      </c>
      <c r="E196" s="5" t="s">
        <v>719</v>
      </c>
      <c r="F196" s="5" t="s">
        <v>1327</v>
      </c>
      <c r="G196" s="5" t="s">
        <v>1328</v>
      </c>
      <c r="H196" s="17" t="s">
        <v>92</v>
      </c>
    </row>
    <row r="197" customFormat="false" ht="15" hidden="false" customHeight="false" outlineLevel="0" collapsed="false">
      <c r="A197" s="5" t="s">
        <v>502</v>
      </c>
      <c r="B197" s="5" t="s">
        <v>1329</v>
      </c>
      <c r="C197" s="5" t="n">
        <v>1</v>
      </c>
      <c r="D197" s="5" t="s">
        <v>709</v>
      </c>
      <c r="E197" s="5" t="s">
        <v>719</v>
      </c>
      <c r="F197" s="5" t="s">
        <v>1330</v>
      </c>
      <c r="G197" s="5" t="s">
        <v>1331</v>
      </c>
      <c r="H197" s="17" t="s">
        <v>92</v>
      </c>
    </row>
    <row r="198" customFormat="false" ht="15" hidden="false" customHeight="false" outlineLevel="0" collapsed="false">
      <c r="A198" s="5" t="s">
        <v>506</v>
      </c>
      <c r="B198" s="5" t="s">
        <v>1332</v>
      </c>
      <c r="C198" s="5" t="n">
        <v>1</v>
      </c>
      <c r="D198" s="5" t="s">
        <v>709</v>
      </c>
      <c r="E198" s="5" t="s">
        <v>719</v>
      </c>
      <c r="F198" s="5" t="s">
        <v>1333</v>
      </c>
      <c r="G198" s="5" t="s">
        <v>1334</v>
      </c>
      <c r="H198" s="17" t="s">
        <v>92</v>
      </c>
    </row>
    <row r="199" customFormat="false" ht="15" hidden="false" customHeight="false" outlineLevel="0" collapsed="false">
      <c r="A199" s="5" t="s">
        <v>1335</v>
      </c>
      <c r="B199" s="5" t="s">
        <v>1336</v>
      </c>
      <c r="C199" s="5" t="n">
        <v>2</v>
      </c>
      <c r="D199" s="5" t="s">
        <v>709</v>
      </c>
      <c r="E199" s="5" t="s">
        <v>719</v>
      </c>
      <c r="F199" s="5" t="s">
        <v>1337</v>
      </c>
      <c r="G199" s="5" t="s">
        <v>1338</v>
      </c>
      <c r="H199" s="17" t="s">
        <v>92</v>
      </c>
    </row>
    <row r="200" customFormat="false" ht="15" hidden="false" customHeight="false" outlineLevel="0" collapsed="false">
      <c r="A200" s="5" t="s">
        <v>1339</v>
      </c>
      <c r="B200" s="5" t="s">
        <v>1340</v>
      </c>
      <c r="C200" s="5" t="n">
        <v>2</v>
      </c>
      <c r="D200" s="5" t="s">
        <v>709</v>
      </c>
      <c r="E200" s="5" t="s">
        <v>719</v>
      </c>
      <c r="F200" s="5" t="s">
        <v>1341</v>
      </c>
      <c r="G200" s="5" t="s">
        <v>1342</v>
      </c>
      <c r="H200" s="17" t="s">
        <v>92</v>
      </c>
    </row>
    <row r="201" customFormat="false" ht="15" hidden="false" customHeight="false" outlineLevel="0" collapsed="false">
      <c r="A201" s="5" t="s">
        <v>1343</v>
      </c>
      <c r="B201" s="5" t="s">
        <v>1344</v>
      </c>
      <c r="C201" s="5" t="n">
        <v>2</v>
      </c>
      <c r="D201" s="5" t="s">
        <v>709</v>
      </c>
      <c r="E201" s="5" t="s">
        <v>719</v>
      </c>
      <c r="F201" s="5" t="s">
        <v>1345</v>
      </c>
      <c r="G201" s="5" t="s">
        <v>1346</v>
      </c>
      <c r="H201" s="17" t="s">
        <v>92</v>
      </c>
    </row>
    <row r="202" customFormat="false" ht="15" hidden="false" customHeight="false" outlineLevel="0" collapsed="false">
      <c r="A202" s="5" t="s">
        <v>1347</v>
      </c>
      <c r="B202" s="5" t="s">
        <v>1348</v>
      </c>
      <c r="C202" s="5" t="n">
        <v>1</v>
      </c>
      <c r="D202" s="5" t="s">
        <v>709</v>
      </c>
      <c r="E202" s="5" t="s">
        <v>719</v>
      </c>
      <c r="F202" s="5" t="s">
        <v>1349</v>
      </c>
      <c r="G202" s="5" t="s">
        <v>1350</v>
      </c>
      <c r="H202" s="17" t="s">
        <v>92</v>
      </c>
    </row>
    <row r="203" customFormat="false" ht="15" hidden="false" customHeight="false" outlineLevel="0" collapsed="false">
      <c r="A203" s="5" t="s">
        <v>1351</v>
      </c>
      <c r="B203" s="5" t="s">
        <v>1352</v>
      </c>
      <c r="C203" s="5" t="n">
        <v>2</v>
      </c>
      <c r="D203" s="5" t="s">
        <v>709</v>
      </c>
      <c r="E203" s="5" t="s">
        <v>719</v>
      </c>
      <c r="F203" s="5" t="s">
        <v>1353</v>
      </c>
      <c r="G203" s="5" t="s">
        <v>1354</v>
      </c>
      <c r="H203" s="17" t="s">
        <v>92</v>
      </c>
    </row>
    <row r="204" customFormat="false" ht="15" hidden="false" customHeight="false" outlineLevel="0" collapsed="false">
      <c r="A204" s="5" t="s">
        <v>1355</v>
      </c>
      <c r="B204" s="5" t="s">
        <v>1356</v>
      </c>
      <c r="C204" s="5" t="n">
        <v>2</v>
      </c>
      <c r="D204" s="5" t="s">
        <v>709</v>
      </c>
      <c r="E204" s="5" t="s">
        <v>719</v>
      </c>
      <c r="F204" s="5" t="s">
        <v>1357</v>
      </c>
      <c r="G204" s="5" t="s">
        <v>1358</v>
      </c>
      <c r="H204" s="17" t="s">
        <v>92</v>
      </c>
    </row>
    <row r="205" customFormat="false" ht="15" hidden="false" customHeight="false" outlineLevel="0" collapsed="false">
      <c r="A205" s="5" t="s">
        <v>1359</v>
      </c>
      <c r="B205" s="5" t="s">
        <v>1360</v>
      </c>
      <c r="C205" s="5" t="n">
        <v>2</v>
      </c>
      <c r="D205" s="5" t="s">
        <v>709</v>
      </c>
      <c r="E205" s="5" t="s">
        <v>719</v>
      </c>
      <c r="F205" s="5" t="s">
        <v>1361</v>
      </c>
      <c r="G205" s="5" t="s">
        <v>1362</v>
      </c>
      <c r="H205" s="17" t="s">
        <v>92</v>
      </c>
    </row>
    <row r="206" customFormat="false" ht="15" hidden="false" customHeight="false" outlineLevel="0" collapsed="false">
      <c r="A206" s="5" t="s">
        <v>1363</v>
      </c>
      <c r="B206" s="5" t="s">
        <v>1364</v>
      </c>
      <c r="C206" s="5" t="n">
        <v>2</v>
      </c>
      <c r="D206" s="5" t="s">
        <v>709</v>
      </c>
      <c r="E206" s="5" t="s">
        <v>719</v>
      </c>
      <c r="F206" s="5" t="s">
        <v>1365</v>
      </c>
      <c r="G206" s="5" t="s">
        <v>1366</v>
      </c>
      <c r="H206" s="17" t="s">
        <v>92</v>
      </c>
    </row>
    <row r="207" customFormat="false" ht="15" hidden="false" customHeight="false" outlineLevel="0" collapsed="false">
      <c r="A207" s="5" t="s">
        <v>1367</v>
      </c>
      <c r="B207" s="5" t="s">
        <v>1368</v>
      </c>
      <c r="C207" s="5" t="n">
        <v>2</v>
      </c>
      <c r="D207" s="5" t="s">
        <v>709</v>
      </c>
      <c r="E207" s="5" t="s">
        <v>719</v>
      </c>
      <c r="F207" s="5" t="s">
        <v>1369</v>
      </c>
      <c r="G207" s="5" t="s">
        <v>1370</v>
      </c>
      <c r="H207" s="17" t="s">
        <v>92</v>
      </c>
    </row>
    <row r="208" customFormat="false" ht="15" hidden="false" customHeight="false" outlineLevel="0" collapsed="false">
      <c r="A208" s="5" t="s">
        <v>1371</v>
      </c>
      <c r="B208" s="5" t="s">
        <v>1372</v>
      </c>
      <c r="C208" s="5" t="n">
        <v>1</v>
      </c>
      <c r="D208" s="5" t="s">
        <v>709</v>
      </c>
      <c r="E208" s="5" t="s">
        <v>719</v>
      </c>
      <c r="F208" s="5" t="s">
        <v>1373</v>
      </c>
      <c r="G208" s="5" t="s">
        <v>1374</v>
      </c>
      <c r="H208" s="17" t="s">
        <v>92</v>
      </c>
    </row>
    <row r="209" customFormat="false" ht="15" hidden="false" customHeight="false" outlineLevel="0" collapsed="false">
      <c r="A209" s="5" t="s">
        <v>1375</v>
      </c>
      <c r="B209" s="5" t="s">
        <v>1376</v>
      </c>
      <c r="C209" s="5" t="n">
        <v>2</v>
      </c>
      <c r="D209" s="5" t="s">
        <v>709</v>
      </c>
      <c r="E209" s="5" t="s">
        <v>719</v>
      </c>
      <c r="F209" s="5" t="s">
        <v>1377</v>
      </c>
      <c r="G209" s="5" t="s">
        <v>1378</v>
      </c>
      <c r="H209" s="17" t="s">
        <v>92</v>
      </c>
    </row>
    <row r="210" customFormat="false" ht="15" hidden="false" customHeight="false" outlineLevel="0" collapsed="false">
      <c r="A210" s="5" t="s">
        <v>1379</v>
      </c>
      <c r="B210" s="5" t="s">
        <v>1380</v>
      </c>
      <c r="C210" s="5" t="n">
        <v>2</v>
      </c>
      <c r="D210" s="5" t="s">
        <v>709</v>
      </c>
      <c r="E210" s="5" t="s">
        <v>719</v>
      </c>
      <c r="F210" s="5" t="s">
        <v>1381</v>
      </c>
      <c r="G210" s="5" t="s">
        <v>1382</v>
      </c>
      <c r="H210" s="17" t="s">
        <v>92</v>
      </c>
    </row>
    <row r="211" customFormat="false" ht="15" hidden="false" customHeight="false" outlineLevel="0" collapsed="false">
      <c r="A211" s="5" t="s">
        <v>1383</v>
      </c>
      <c r="B211" s="5" t="s">
        <v>1384</v>
      </c>
      <c r="C211" s="5" t="n">
        <v>1</v>
      </c>
      <c r="D211" s="5" t="s">
        <v>709</v>
      </c>
      <c r="E211" s="5" t="s">
        <v>719</v>
      </c>
      <c r="F211" s="5" t="s">
        <v>1385</v>
      </c>
      <c r="G211" s="5" t="s">
        <v>1386</v>
      </c>
      <c r="H211" s="17" t="s">
        <v>92</v>
      </c>
    </row>
    <row r="212" customFormat="false" ht="15" hidden="false" customHeight="false" outlineLevel="0" collapsed="false">
      <c r="A212" s="5" t="s">
        <v>1387</v>
      </c>
      <c r="B212" s="5" t="s">
        <v>1388</v>
      </c>
      <c r="C212" s="5" t="n">
        <v>1</v>
      </c>
      <c r="D212" s="5" t="s">
        <v>709</v>
      </c>
      <c r="E212" s="5" t="s">
        <v>719</v>
      </c>
      <c r="F212" s="5" t="s">
        <v>1389</v>
      </c>
      <c r="G212" s="5" t="s">
        <v>1390</v>
      </c>
      <c r="H212" s="17" t="s">
        <v>92</v>
      </c>
    </row>
    <row r="213" customFormat="false" ht="15" hidden="false" customHeight="false" outlineLevel="0" collapsed="false">
      <c r="A213" s="5" t="s">
        <v>1391</v>
      </c>
      <c r="B213" s="5" t="s">
        <v>1392</v>
      </c>
      <c r="C213" s="5" t="n">
        <v>2</v>
      </c>
      <c r="D213" s="5" t="s">
        <v>709</v>
      </c>
      <c r="E213" s="5" t="s">
        <v>719</v>
      </c>
      <c r="F213" s="5" t="s">
        <v>1393</v>
      </c>
      <c r="G213" s="5" t="s">
        <v>1394</v>
      </c>
      <c r="H213" s="17" t="s">
        <v>92</v>
      </c>
    </row>
    <row r="214" customFormat="false" ht="15" hidden="false" customHeight="false" outlineLevel="0" collapsed="false">
      <c r="A214" s="5" t="s">
        <v>1395</v>
      </c>
      <c r="B214" s="5" t="s">
        <v>1396</v>
      </c>
      <c r="C214" s="5" t="n">
        <v>1</v>
      </c>
      <c r="D214" s="5" t="s">
        <v>709</v>
      </c>
      <c r="E214" s="5" t="s">
        <v>719</v>
      </c>
      <c r="F214" s="5" t="s">
        <v>1397</v>
      </c>
      <c r="G214" s="5" t="s">
        <v>1398</v>
      </c>
      <c r="H214" s="17" t="s">
        <v>92</v>
      </c>
    </row>
    <row r="215" customFormat="false" ht="15" hidden="false" customHeight="false" outlineLevel="0" collapsed="false">
      <c r="A215" s="5" t="s">
        <v>1399</v>
      </c>
      <c r="B215" s="5" t="s">
        <v>1400</v>
      </c>
      <c r="C215" s="5" t="n">
        <v>2</v>
      </c>
      <c r="D215" s="5" t="s">
        <v>709</v>
      </c>
      <c r="E215" s="5" t="s">
        <v>719</v>
      </c>
      <c r="F215" s="5" t="s">
        <v>1401</v>
      </c>
      <c r="G215" s="5" t="s">
        <v>1402</v>
      </c>
      <c r="H215" s="17" t="s">
        <v>92</v>
      </c>
    </row>
    <row r="216" customFormat="false" ht="15" hidden="false" customHeight="false" outlineLevel="0" collapsed="false">
      <c r="A216" s="5" t="s">
        <v>1403</v>
      </c>
      <c r="B216" s="5" t="s">
        <v>1404</v>
      </c>
      <c r="C216" s="5" t="n">
        <v>1</v>
      </c>
      <c r="D216" s="5" t="s">
        <v>709</v>
      </c>
      <c r="E216" s="5" t="s">
        <v>719</v>
      </c>
      <c r="F216" s="5" t="s">
        <v>1405</v>
      </c>
      <c r="G216" s="5" t="s">
        <v>1406</v>
      </c>
      <c r="H216" s="17" t="s">
        <v>92</v>
      </c>
    </row>
    <row r="217" customFormat="false" ht="15" hidden="false" customHeight="false" outlineLevel="0" collapsed="false">
      <c r="A217" s="5" t="s">
        <v>1407</v>
      </c>
      <c r="B217" s="5" t="s">
        <v>1408</v>
      </c>
      <c r="C217" s="5" t="n">
        <v>1</v>
      </c>
      <c r="D217" s="5" t="s">
        <v>709</v>
      </c>
      <c r="E217" s="5" t="s">
        <v>719</v>
      </c>
      <c r="F217" s="5" t="s">
        <v>1409</v>
      </c>
      <c r="G217" s="5" t="s">
        <v>1410</v>
      </c>
      <c r="H217" s="17" t="s">
        <v>92</v>
      </c>
    </row>
    <row r="218" customFormat="false" ht="15" hidden="false" customHeight="false" outlineLevel="0" collapsed="false">
      <c r="A218" s="5" t="s">
        <v>1411</v>
      </c>
      <c r="B218" s="5" t="s">
        <v>1412</v>
      </c>
      <c r="C218" s="5" t="n">
        <v>1</v>
      </c>
      <c r="D218" s="5" t="s">
        <v>709</v>
      </c>
      <c r="E218" s="5" t="s">
        <v>719</v>
      </c>
      <c r="F218" s="5" t="s">
        <v>1413</v>
      </c>
      <c r="G218" s="5" t="s">
        <v>1414</v>
      </c>
      <c r="H218" s="17" t="s">
        <v>92</v>
      </c>
    </row>
    <row r="219" customFormat="false" ht="15" hidden="false" customHeight="false" outlineLevel="0" collapsed="false">
      <c r="A219" s="5" t="s">
        <v>1415</v>
      </c>
      <c r="B219" s="5" t="s">
        <v>1416</v>
      </c>
      <c r="C219" s="5" t="n">
        <v>2</v>
      </c>
      <c r="D219" s="5" t="s">
        <v>709</v>
      </c>
      <c r="E219" s="5" t="s">
        <v>719</v>
      </c>
      <c r="F219" s="5" t="s">
        <v>1417</v>
      </c>
      <c r="G219" s="5" t="s">
        <v>1418</v>
      </c>
      <c r="H219" s="17" t="s">
        <v>92</v>
      </c>
    </row>
    <row r="220" customFormat="false" ht="15" hidden="false" customHeight="false" outlineLevel="0" collapsed="false">
      <c r="A220" s="5" t="s">
        <v>1419</v>
      </c>
      <c r="B220" s="5" t="s">
        <v>1420</v>
      </c>
      <c r="C220" s="5" t="n">
        <v>1</v>
      </c>
      <c r="D220" s="5" t="s">
        <v>709</v>
      </c>
      <c r="E220" s="5" t="s">
        <v>719</v>
      </c>
      <c r="F220" s="5" t="s">
        <v>1421</v>
      </c>
      <c r="G220" s="5" t="s">
        <v>1422</v>
      </c>
      <c r="H220" s="17" t="s">
        <v>92</v>
      </c>
    </row>
    <row r="221" customFormat="false" ht="15" hidden="false" customHeight="false" outlineLevel="0" collapsed="false">
      <c r="A221" s="5" t="s">
        <v>1423</v>
      </c>
      <c r="B221" s="5" t="s">
        <v>1424</v>
      </c>
      <c r="C221" s="5" t="n">
        <v>1</v>
      </c>
      <c r="D221" s="5" t="s">
        <v>709</v>
      </c>
      <c r="E221" s="5" t="s">
        <v>719</v>
      </c>
      <c r="F221" s="5" t="s">
        <v>1425</v>
      </c>
      <c r="G221" s="5" t="s">
        <v>1426</v>
      </c>
      <c r="H221" s="17" t="s">
        <v>92</v>
      </c>
    </row>
    <row r="222" customFormat="false" ht="15" hidden="false" customHeight="false" outlineLevel="0" collapsed="false">
      <c r="A222" s="5" t="s">
        <v>1427</v>
      </c>
      <c r="B222" s="5" t="s">
        <v>1428</v>
      </c>
      <c r="C222" s="5" t="n">
        <v>1</v>
      </c>
      <c r="D222" s="5" t="s">
        <v>709</v>
      </c>
      <c r="E222" s="5" t="s">
        <v>719</v>
      </c>
      <c r="F222" s="5" t="s">
        <v>1429</v>
      </c>
      <c r="G222" s="5" t="s">
        <v>1430</v>
      </c>
      <c r="H222" s="17" t="s">
        <v>92</v>
      </c>
    </row>
    <row r="223" customFormat="false" ht="15" hidden="false" customHeight="false" outlineLevel="0" collapsed="false">
      <c r="A223" s="5" t="s">
        <v>1431</v>
      </c>
      <c r="B223" s="5" t="s">
        <v>1432</v>
      </c>
      <c r="C223" s="5" t="n">
        <v>1</v>
      </c>
      <c r="D223" s="5" t="s">
        <v>709</v>
      </c>
      <c r="E223" s="5" t="s">
        <v>719</v>
      </c>
      <c r="F223" s="5" t="s">
        <v>1433</v>
      </c>
      <c r="G223" s="5" t="s">
        <v>1434</v>
      </c>
      <c r="H223" s="17" t="s">
        <v>92</v>
      </c>
    </row>
    <row r="224" customFormat="false" ht="15" hidden="false" customHeight="false" outlineLevel="0" collapsed="false">
      <c r="A224" s="5" t="s">
        <v>1435</v>
      </c>
      <c r="B224" s="5" t="s">
        <v>1436</v>
      </c>
      <c r="C224" s="5" t="n">
        <v>1</v>
      </c>
      <c r="D224" s="5" t="s">
        <v>709</v>
      </c>
      <c r="E224" s="5" t="s">
        <v>719</v>
      </c>
      <c r="F224" s="5" t="s">
        <v>1437</v>
      </c>
      <c r="G224" s="5" t="s">
        <v>1438</v>
      </c>
      <c r="H224" s="17" t="s">
        <v>92</v>
      </c>
    </row>
    <row r="225" customFormat="false" ht="15" hidden="false" customHeight="false" outlineLevel="0" collapsed="false">
      <c r="A225" s="5" t="s">
        <v>1439</v>
      </c>
      <c r="B225" s="5" t="s">
        <v>1440</v>
      </c>
      <c r="C225" s="5" t="n">
        <v>1</v>
      </c>
      <c r="D225" s="5" t="s">
        <v>709</v>
      </c>
      <c r="E225" s="5" t="s">
        <v>719</v>
      </c>
      <c r="F225" s="5" t="s">
        <v>1441</v>
      </c>
      <c r="G225" s="5" t="s">
        <v>1442</v>
      </c>
      <c r="H225" s="17" t="s">
        <v>92</v>
      </c>
    </row>
    <row r="226" customFormat="false" ht="15" hidden="false" customHeight="false" outlineLevel="0" collapsed="false">
      <c r="A226" s="5" t="s">
        <v>1443</v>
      </c>
      <c r="B226" s="5" t="s">
        <v>1444</v>
      </c>
      <c r="C226" s="5" t="n">
        <v>1</v>
      </c>
      <c r="D226" s="5" t="s">
        <v>709</v>
      </c>
      <c r="E226" s="5" t="s">
        <v>719</v>
      </c>
      <c r="F226" s="5" t="s">
        <v>1445</v>
      </c>
      <c r="G226" s="5" t="s">
        <v>1446</v>
      </c>
      <c r="H226" s="17" t="s">
        <v>92</v>
      </c>
    </row>
    <row r="227" customFormat="false" ht="15" hidden="false" customHeight="false" outlineLevel="0" collapsed="false">
      <c r="A227" s="5" t="s">
        <v>1447</v>
      </c>
      <c r="B227" s="5" t="s">
        <v>1448</v>
      </c>
      <c r="C227" s="5" t="n">
        <v>1</v>
      </c>
      <c r="D227" s="5" t="s">
        <v>709</v>
      </c>
      <c r="E227" s="5" t="s">
        <v>719</v>
      </c>
      <c r="F227" s="5" t="s">
        <v>1449</v>
      </c>
      <c r="G227" s="5" t="s">
        <v>1450</v>
      </c>
      <c r="H227" s="17" t="s">
        <v>92</v>
      </c>
    </row>
    <row r="228" customFormat="false" ht="15" hidden="false" customHeight="false" outlineLevel="0" collapsed="false">
      <c r="A228" s="5" t="s">
        <v>1451</v>
      </c>
      <c r="B228" s="5" t="s">
        <v>1452</v>
      </c>
      <c r="C228" s="5" t="n">
        <v>1</v>
      </c>
      <c r="D228" s="5" t="s">
        <v>709</v>
      </c>
      <c r="E228" s="5" t="s">
        <v>719</v>
      </c>
      <c r="F228" s="5" t="s">
        <v>1453</v>
      </c>
      <c r="G228" s="5" t="s">
        <v>1454</v>
      </c>
      <c r="H228" s="17" t="s">
        <v>92</v>
      </c>
    </row>
    <row r="229" customFormat="false" ht="15" hidden="false" customHeight="false" outlineLevel="0" collapsed="false">
      <c r="A229" s="5" t="s">
        <v>1455</v>
      </c>
      <c r="B229" s="5" t="s">
        <v>1456</v>
      </c>
      <c r="C229" s="5" t="n">
        <v>1</v>
      </c>
      <c r="D229" s="5" t="s">
        <v>709</v>
      </c>
      <c r="E229" s="5" t="s">
        <v>719</v>
      </c>
      <c r="F229" s="5" t="s">
        <v>1457</v>
      </c>
      <c r="G229" s="5" t="s">
        <v>1458</v>
      </c>
      <c r="H229" s="17" t="s">
        <v>92</v>
      </c>
    </row>
    <row r="230" customFormat="false" ht="15" hidden="false" customHeight="false" outlineLevel="0" collapsed="false">
      <c r="A230" s="5" t="s">
        <v>1459</v>
      </c>
      <c r="B230" s="5" t="s">
        <v>1460</v>
      </c>
      <c r="C230" s="5" t="n">
        <v>1</v>
      </c>
      <c r="D230" s="5" t="s">
        <v>709</v>
      </c>
      <c r="E230" s="5" t="s">
        <v>719</v>
      </c>
      <c r="F230" s="5" t="s">
        <v>1461</v>
      </c>
      <c r="G230" s="5" t="s">
        <v>1462</v>
      </c>
      <c r="H230" s="17" t="s">
        <v>92</v>
      </c>
    </row>
    <row r="231" customFormat="false" ht="15" hidden="false" customHeight="false" outlineLevel="0" collapsed="false">
      <c r="A231" s="5" t="s">
        <v>1463</v>
      </c>
      <c r="B231" s="5" t="s">
        <v>1464</v>
      </c>
      <c r="C231" s="5" t="n">
        <v>1</v>
      </c>
      <c r="D231" s="5" t="s">
        <v>709</v>
      </c>
      <c r="E231" s="5" t="s">
        <v>719</v>
      </c>
      <c r="F231" s="5" t="s">
        <v>1465</v>
      </c>
      <c r="G231" s="5" t="s">
        <v>1466</v>
      </c>
      <c r="H231" s="17" t="s">
        <v>92</v>
      </c>
    </row>
    <row r="232" customFormat="false" ht="15" hidden="false" customHeight="false" outlineLevel="0" collapsed="false">
      <c r="A232" s="5" t="s">
        <v>1467</v>
      </c>
      <c r="B232" s="5" t="s">
        <v>1468</v>
      </c>
      <c r="C232" s="5" t="n">
        <v>1</v>
      </c>
      <c r="D232" s="5" t="s">
        <v>709</v>
      </c>
      <c r="E232" s="5" t="s">
        <v>719</v>
      </c>
      <c r="F232" s="5" t="s">
        <v>1469</v>
      </c>
      <c r="G232" s="5" t="s">
        <v>1470</v>
      </c>
      <c r="H232" s="17" t="s">
        <v>92</v>
      </c>
    </row>
    <row r="233" customFormat="false" ht="15" hidden="false" customHeight="false" outlineLevel="0" collapsed="false">
      <c r="A233" s="5" t="s">
        <v>1471</v>
      </c>
      <c r="B233" s="5" t="s">
        <v>1472</v>
      </c>
      <c r="C233" s="5" t="n">
        <v>1</v>
      </c>
      <c r="D233" s="5" t="s">
        <v>709</v>
      </c>
      <c r="E233" s="5" t="s">
        <v>719</v>
      </c>
      <c r="F233" s="5" t="s">
        <v>1473</v>
      </c>
      <c r="G233" s="5" t="s">
        <v>1474</v>
      </c>
      <c r="H233" s="17" t="s">
        <v>92</v>
      </c>
    </row>
    <row r="234" customFormat="false" ht="15" hidden="false" customHeight="false" outlineLevel="0" collapsed="false">
      <c r="A234" s="5" t="s">
        <v>1475</v>
      </c>
      <c r="B234" s="5" t="s">
        <v>1476</v>
      </c>
      <c r="C234" s="5" t="n">
        <v>1</v>
      </c>
      <c r="D234" s="5" t="s">
        <v>709</v>
      </c>
      <c r="E234" s="5" t="s">
        <v>719</v>
      </c>
      <c r="F234" s="5" t="s">
        <v>1477</v>
      </c>
      <c r="G234" s="5" t="s">
        <v>1478</v>
      </c>
      <c r="H234" s="17" t="s">
        <v>92</v>
      </c>
    </row>
    <row r="235" customFormat="false" ht="15" hidden="false" customHeight="false" outlineLevel="0" collapsed="false">
      <c r="A235" s="5" t="s">
        <v>1479</v>
      </c>
      <c r="B235" s="5" t="s">
        <v>1480</v>
      </c>
      <c r="C235" s="5" t="n">
        <v>1</v>
      </c>
      <c r="D235" s="5" t="s">
        <v>709</v>
      </c>
      <c r="E235" s="5" t="s">
        <v>719</v>
      </c>
      <c r="F235" s="5" t="s">
        <v>1481</v>
      </c>
      <c r="G235" s="5" t="s">
        <v>1482</v>
      </c>
      <c r="H235" s="17" t="s">
        <v>92</v>
      </c>
    </row>
    <row r="236" customFormat="false" ht="15" hidden="false" customHeight="false" outlineLevel="0" collapsed="false">
      <c r="A236" s="5" t="s">
        <v>1483</v>
      </c>
      <c r="B236" s="5" t="s">
        <v>1484</v>
      </c>
      <c r="C236" s="5" t="n">
        <v>1</v>
      </c>
      <c r="D236" s="5" t="s">
        <v>709</v>
      </c>
      <c r="E236" s="5" t="s">
        <v>719</v>
      </c>
      <c r="F236" s="5" t="s">
        <v>1485</v>
      </c>
      <c r="G236" s="5" t="s">
        <v>1486</v>
      </c>
      <c r="H236" s="17" t="s">
        <v>92</v>
      </c>
    </row>
    <row r="237" customFormat="false" ht="15" hidden="false" customHeight="false" outlineLevel="0" collapsed="false">
      <c r="A237" s="5" t="s">
        <v>1487</v>
      </c>
      <c r="B237" s="5" t="s">
        <v>1488</v>
      </c>
      <c r="C237" s="5" t="n">
        <v>1</v>
      </c>
      <c r="D237" s="5" t="s">
        <v>709</v>
      </c>
      <c r="E237" s="5" t="s">
        <v>719</v>
      </c>
      <c r="F237" s="5" t="s">
        <v>1489</v>
      </c>
      <c r="G237" s="5" t="s">
        <v>1490</v>
      </c>
      <c r="H237" s="17" t="s">
        <v>92</v>
      </c>
    </row>
    <row r="238" customFormat="false" ht="15" hidden="false" customHeight="false" outlineLevel="0" collapsed="false">
      <c r="A238" s="5" t="s">
        <v>1491</v>
      </c>
      <c r="B238" s="5" t="s">
        <v>1492</v>
      </c>
      <c r="C238" s="5" t="n">
        <v>1</v>
      </c>
      <c r="D238" s="5" t="s">
        <v>709</v>
      </c>
      <c r="E238" s="5" t="s">
        <v>719</v>
      </c>
      <c r="F238" s="5" t="s">
        <v>1493</v>
      </c>
      <c r="G238" s="5" t="s">
        <v>1494</v>
      </c>
      <c r="H238" s="17" t="s">
        <v>92</v>
      </c>
    </row>
    <row r="239" customFormat="false" ht="15" hidden="false" customHeight="false" outlineLevel="0" collapsed="false">
      <c r="A239" s="5" t="s">
        <v>1495</v>
      </c>
      <c r="B239" s="5" t="s">
        <v>1496</v>
      </c>
      <c r="C239" s="5" t="n">
        <v>0</v>
      </c>
      <c r="D239" s="5" t="s">
        <v>709</v>
      </c>
      <c r="E239" s="5" t="s">
        <v>719</v>
      </c>
      <c r="F239" s="5" t="s">
        <v>1497</v>
      </c>
      <c r="G239" s="5" t="s">
        <v>1498</v>
      </c>
      <c r="H239" s="17" t="s">
        <v>92</v>
      </c>
    </row>
    <row r="240" customFormat="false" ht="15" hidden="false" customHeight="false" outlineLevel="0" collapsed="false">
      <c r="A240" s="5" t="s">
        <v>1499</v>
      </c>
      <c r="B240" s="5" t="s">
        <v>1500</v>
      </c>
      <c r="C240" s="5" t="n">
        <v>1</v>
      </c>
      <c r="D240" s="5" t="s">
        <v>709</v>
      </c>
      <c r="E240" s="5" t="s">
        <v>719</v>
      </c>
      <c r="F240" s="5" t="s">
        <v>1501</v>
      </c>
      <c r="G240" s="5" t="s">
        <v>1502</v>
      </c>
      <c r="H240" s="17" t="s">
        <v>92</v>
      </c>
    </row>
    <row r="241" customFormat="false" ht="15" hidden="false" customHeight="false" outlineLevel="0" collapsed="false">
      <c r="A241" s="5" t="s">
        <v>1503</v>
      </c>
      <c r="B241" s="5" t="s">
        <v>1504</v>
      </c>
      <c r="C241" s="5" t="n">
        <v>2</v>
      </c>
      <c r="D241" s="5" t="s">
        <v>709</v>
      </c>
      <c r="E241" s="5" t="s">
        <v>719</v>
      </c>
      <c r="F241" s="5" t="s">
        <v>1505</v>
      </c>
      <c r="G241" s="5" t="s">
        <v>1506</v>
      </c>
      <c r="H241" s="17" t="s">
        <v>92</v>
      </c>
    </row>
    <row r="242" customFormat="false" ht="15" hidden="false" customHeight="false" outlineLevel="0" collapsed="false">
      <c r="A242" s="5" t="s">
        <v>1507</v>
      </c>
      <c r="B242" s="5" t="s">
        <v>1508</v>
      </c>
      <c r="C242" s="5" t="n">
        <v>1</v>
      </c>
      <c r="D242" s="5" t="s">
        <v>709</v>
      </c>
      <c r="E242" s="5" t="s">
        <v>719</v>
      </c>
      <c r="F242" s="5" t="s">
        <v>1509</v>
      </c>
      <c r="G242" s="5" t="s">
        <v>1510</v>
      </c>
      <c r="H242" s="17" t="s">
        <v>92</v>
      </c>
    </row>
    <row r="243" customFormat="false" ht="15" hidden="false" customHeight="false" outlineLevel="0" collapsed="false">
      <c r="A243" s="5" t="s">
        <v>1511</v>
      </c>
      <c r="B243" s="5" t="s">
        <v>1512</v>
      </c>
      <c r="C243" s="5" t="n">
        <v>2</v>
      </c>
      <c r="D243" s="5" t="s">
        <v>709</v>
      </c>
      <c r="E243" s="5" t="s">
        <v>719</v>
      </c>
      <c r="F243" s="5" t="s">
        <v>1513</v>
      </c>
      <c r="G243" s="5" t="s">
        <v>1514</v>
      </c>
      <c r="H243" s="17" t="s">
        <v>92</v>
      </c>
    </row>
    <row r="244" customFormat="false" ht="15" hidden="false" customHeight="false" outlineLevel="0" collapsed="false">
      <c r="A244" s="5" t="s">
        <v>1515</v>
      </c>
      <c r="B244" s="5" t="s">
        <v>1516</v>
      </c>
      <c r="C244" s="5" t="n">
        <v>1</v>
      </c>
      <c r="D244" s="5" t="s">
        <v>709</v>
      </c>
      <c r="E244" s="5" t="s">
        <v>719</v>
      </c>
      <c r="F244" s="5" t="s">
        <v>1517</v>
      </c>
      <c r="G244" s="5" t="s">
        <v>1518</v>
      </c>
      <c r="H244" s="17" t="s">
        <v>92</v>
      </c>
    </row>
    <row r="245" customFormat="false" ht="15" hidden="false" customHeight="false" outlineLevel="0" collapsed="false">
      <c r="A245" s="5" t="s">
        <v>511</v>
      </c>
      <c r="B245" s="5" t="s">
        <v>1519</v>
      </c>
      <c r="C245" s="5" t="n">
        <v>2</v>
      </c>
      <c r="D245" s="5" t="s">
        <v>709</v>
      </c>
      <c r="E245" s="5" t="s">
        <v>719</v>
      </c>
      <c r="F245" s="5" t="s">
        <v>1520</v>
      </c>
      <c r="G245" s="5" t="s">
        <v>1521</v>
      </c>
      <c r="H245" s="17" t="s">
        <v>92</v>
      </c>
    </row>
    <row r="246" customFormat="false" ht="15" hidden="false" customHeight="false" outlineLevel="0" collapsed="false">
      <c r="A246" s="5" t="s">
        <v>1522</v>
      </c>
      <c r="B246" s="5" t="s">
        <v>1523</v>
      </c>
      <c r="C246" s="5" t="n">
        <v>1</v>
      </c>
      <c r="D246" s="5" t="s">
        <v>709</v>
      </c>
      <c r="E246" s="5" t="s">
        <v>719</v>
      </c>
      <c r="F246" s="5" t="s">
        <v>1524</v>
      </c>
      <c r="G246" s="5" t="s">
        <v>1525</v>
      </c>
      <c r="H246" s="17" t="s">
        <v>92</v>
      </c>
    </row>
    <row r="247" customFormat="false" ht="15" hidden="false" customHeight="false" outlineLevel="0" collapsed="false">
      <c r="A247" s="5" t="s">
        <v>1526</v>
      </c>
      <c r="B247" s="5" t="s">
        <v>1527</v>
      </c>
      <c r="C247" s="5" t="n">
        <v>2</v>
      </c>
      <c r="D247" s="5" t="s">
        <v>709</v>
      </c>
      <c r="E247" s="5" t="s">
        <v>719</v>
      </c>
      <c r="F247" s="5" t="s">
        <v>1528</v>
      </c>
      <c r="G247" s="5" t="s">
        <v>1529</v>
      </c>
      <c r="H247" s="17" t="s">
        <v>92</v>
      </c>
    </row>
    <row r="248" customFormat="false" ht="15" hidden="false" customHeight="false" outlineLevel="0" collapsed="false">
      <c r="A248" s="5" t="s">
        <v>521</v>
      </c>
      <c r="B248" s="5" t="s">
        <v>1530</v>
      </c>
      <c r="C248" s="5" t="n">
        <v>2</v>
      </c>
      <c r="D248" s="5" t="s">
        <v>709</v>
      </c>
      <c r="E248" s="5" t="s">
        <v>719</v>
      </c>
      <c r="F248" s="5" t="s">
        <v>1531</v>
      </c>
      <c r="G248" s="5" t="s">
        <v>1532</v>
      </c>
      <c r="H248" s="17" t="s">
        <v>92</v>
      </c>
    </row>
    <row r="249" customFormat="false" ht="15" hidden="false" customHeight="false" outlineLevel="0" collapsed="false">
      <c r="A249" s="5" t="s">
        <v>1533</v>
      </c>
      <c r="B249" s="5" t="s">
        <v>1534</v>
      </c>
      <c r="C249" s="5" t="n">
        <v>2</v>
      </c>
      <c r="D249" s="5" t="s">
        <v>709</v>
      </c>
      <c r="E249" s="5" t="s">
        <v>719</v>
      </c>
      <c r="F249" s="5" t="s">
        <v>1535</v>
      </c>
      <c r="G249" s="5" t="s">
        <v>1536</v>
      </c>
      <c r="H249" s="17" t="s">
        <v>92</v>
      </c>
    </row>
    <row r="250" customFormat="false" ht="15" hidden="false" customHeight="false" outlineLevel="0" collapsed="false">
      <c r="A250" s="5" t="s">
        <v>1537</v>
      </c>
      <c r="B250" s="5" t="s">
        <v>1538</v>
      </c>
      <c r="C250" s="5" t="n">
        <v>1</v>
      </c>
      <c r="D250" s="5" t="s">
        <v>709</v>
      </c>
      <c r="E250" s="5" t="s">
        <v>719</v>
      </c>
      <c r="F250" s="5" t="s">
        <v>1539</v>
      </c>
      <c r="G250" s="5" t="s">
        <v>1540</v>
      </c>
      <c r="H250" s="17" t="s">
        <v>92</v>
      </c>
    </row>
    <row r="251" customFormat="false" ht="15" hidden="false" customHeight="false" outlineLevel="0" collapsed="false">
      <c r="A251" s="5" t="s">
        <v>1541</v>
      </c>
      <c r="B251" s="5" t="s">
        <v>1542</v>
      </c>
      <c r="C251" s="5" t="n">
        <v>1</v>
      </c>
      <c r="D251" s="5" t="s">
        <v>709</v>
      </c>
      <c r="E251" s="5" t="s">
        <v>719</v>
      </c>
      <c r="F251" s="5" t="s">
        <v>1543</v>
      </c>
      <c r="G251" s="5" t="s">
        <v>1544</v>
      </c>
      <c r="H251" s="17" t="s">
        <v>92</v>
      </c>
    </row>
    <row r="252" customFormat="false" ht="15" hidden="false" customHeight="false" outlineLevel="0" collapsed="false">
      <c r="A252" s="5" t="s">
        <v>1545</v>
      </c>
      <c r="B252" s="5" t="s">
        <v>1546</v>
      </c>
      <c r="C252" s="5" t="n">
        <v>2</v>
      </c>
      <c r="D252" s="5" t="s">
        <v>709</v>
      </c>
      <c r="E252" s="5" t="s">
        <v>719</v>
      </c>
      <c r="F252" s="5" t="s">
        <v>1547</v>
      </c>
      <c r="G252" s="5" t="s">
        <v>1548</v>
      </c>
      <c r="H252" s="17" t="s">
        <v>92</v>
      </c>
    </row>
    <row r="253" customFormat="false" ht="15" hidden="false" customHeight="false" outlineLevel="0" collapsed="false">
      <c r="A253" s="5" t="s">
        <v>1549</v>
      </c>
      <c r="B253" s="5" t="s">
        <v>1550</v>
      </c>
      <c r="C253" s="5" t="n">
        <v>1</v>
      </c>
      <c r="D253" s="5" t="s">
        <v>709</v>
      </c>
      <c r="E253" s="5" t="s">
        <v>719</v>
      </c>
      <c r="F253" s="5" t="s">
        <v>1551</v>
      </c>
      <c r="G253" s="5" t="s">
        <v>1552</v>
      </c>
      <c r="H253" s="17" t="s">
        <v>92</v>
      </c>
    </row>
    <row r="254" customFormat="false" ht="15" hidden="false" customHeight="false" outlineLevel="0" collapsed="false">
      <c r="A254" s="5" t="s">
        <v>535</v>
      </c>
      <c r="B254" s="5" t="s">
        <v>1553</v>
      </c>
      <c r="C254" s="5" t="n">
        <v>1</v>
      </c>
      <c r="D254" s="5" t="s">
        <v>709</v>
      </c>
      <c r="E254" s="5" t="s">
        <v>719</v>
      </c>
      <c r="F254" s="5" t="s">
        <v>1554</v>
      </c>
      <c r="G254" s="5" t="s">
        <v>1555</v>
      </c>
      <c r="H254" s="17" t="s">
        <v>92</v>
      </c>
    </row>
    <row r="255" customFormat="false" ht="15" hidden="false" customHeight="false" outlineLevel="0" collapsed="false">
      <c r="A255" s="5" t="s">
        <v>1556</v>
      </c>
      <c r="B255" s="5" t="s">
        <v>1557</v>
      </c>
      <c r="C255" s="5" t="n">
        <v>1</v>
      </c>
      <c r="D255" s="5" t="s">
        <v>709</v>
      </c>
      <c r="E255" s="5" t="s">
        <v>719</v>
      </c>
      <c r="F255" s="5" t="s">
        <v>1558</v>
      </c>
      <c r="G255" s="5" t="s">
        <v>1559</v>
      </c>
      <c r="H255" s="17" t="s">
        <v>92</v>
      </c>
    </row>
    <row r="256" customFormat="false" ht="15" hidden="false" customHeight="false" outlineLevel="0" collapsed="false">
      <c r="A256" s="5" t="s">
        <v>1560</v>
      </c>
      <c r="B256" s="5" t="s">
        <v>1561</v>
      </c>
      <c r="C256" s="5" t="n">
        <v>1</v>
      </c>
      <c r="D256" s="5" t="s">
        <v>709</v>
      </c>
      <c r="E256" s="5" t="s">
        <v>719</v>
      </c>
      <c r="F256" s="5" t="s">
        <v>1562</v>
      </c>
      <c r="G256" s="5" t="s">
        <v>1563</v>
      </c>
      <c r="H256" s="17" t="s">
        <v>92</v>
      </c>
    </row>
    <row r="257" customFormat="false" ht="15" hidden="false" customHeight="false" outlineLevel="0" collapsed="false">
      <c r="A257" s="5" t="s">
        <v>1564</v>
      </c>
      <c r="B257" s="5" t="s">
        <v>1565</v>
      </c>
      <c r="C257" s="5" t="n">
        <v>1</v>
      </c>
      <c r="D257" s="5" t="s">
        <v>709</v>
      </c>
      <c r="E257" s="5" t="s">
        <v>719</v>
      </c>
      <c r="F257" s="5" t="s">
        <v>1566</v>
      </c>
      <c r="G257" s="5" t="s">
        <v>1567</v>
      </c>
      <c r="H257" s="17" t="s">
        <v>92</v>
      </c>
    </row>
    <row r="258" customFormat="false" ht="15" hidden="false" customHeight="false" outlineLevel="0" collapsed="false">
      <c r="A258" s="5" t="s">
        <v>1568</v>
      </c>
      <c r="B258" s="5" t="s">
        <v>1569</v>
      </c>
      <c r="C258" s="5" t="n">
        <v>1</v>
      </c>
      <c r="D258" s="5" t="s">
        <v>709</v>
      </c>
      <c r="E258" s="5" t="s">
        <v>719</v>
      </c>
      <c r="F258" s="5" t="s">
        <v>1570</v>
      </c>
      <c r="G258" s="5" t="s">
        <v>1571</v>
      </c>
      <c r="H258" s="17" t="s">
        <v>92</v>
      </c>
    </row>
    <row r="259" customFormat="false" ht="15" hidden="false" customHeight="false" outlineLevel="0" collapsed="false">
      <c r="A259" s="5" t="s">
        <v>1572</v>
      </c>
      <c r="B259" s="5" t="s">
        <v>1573</v>
      </c>
      <c r="C259" s="5" t="n">
        <v>1</v>
      </c>
      <c r="D259" s="5" t="s">
        <v>709</v>
      </c>
      <c r="E259" s="5" t="s">
        <v>719</v>
      </c>
      <c r="F259" s="5" t="s">
        <v>1574</v>
      </c>
      <c r="G259" s="5" t="s">
        <v>1575</v>
      </c>
      <c r="H259" s="17" t="s">
        <v>92</v>
      </c>
    </row>
    <row r="260" customFormat="false" ht="15" hidden="false" customHeight="false" outlineLevel="0" collapsed="false">
      <c r="A260" s="5" t="s">
        <v>1576</v>
      </c>
      <c r="B260" s="5" t="s">
        <v>1577</v>
      </c>
      <c r="C260" s="5" t="n">
        <v>1</v>
      </c>
      <c r="D260" s="5" t="s">
        <v>709</v>
      </c>
      <c r="E260" s="5" t="s">
        <v>719</v>
      </c>
      <c r="F260" s="5" t="s">
        <v>1578</v>
      </c>
      <c r="G260" s="5" t="s">
        <v>1579</v>
      </c>
      <c r="H260" s="17" t="s">
        <v>92</v>
      </c>
    </row>
    <row r="261" customFormat="false" ht="15" hidden="false" customHeight="false" outlineLevel="0" collapsed="false">
      <c r="A261" s="5" t="s">
        <v>1580</v>
      </c>
      <c r="B261" s="5" t="s">
        <v>1581</v>
      </c>
      <c r="C261" s="5" t="n">
        <v>1</v>
      </c>
      <c r="D261" s="5" t="s">
        <v>709</v>
      </c>
      <c r="E261" s="5" t="s">
        <v>719</v>
      </c>
      <c r="F261" s="5" t="s">
        <v>1582</v>
      </c>
      <c r="G261" s="5" t="s">
        <v>1583</v>
      </c>
      <c r="H261" s="17" t="s">
        <v>92</v>
      </c>
    </row>
    <row r="262" customFormat="false" ht="15" hidden="false" customHeight="false" outlineLevel="0" collapsed="false">
      <c r="A262" s="5" t="s">
        <v>1584</v>
      </c>
      <c r="B262" s="5" t="s">
        <v>1585</v>
      </c>
      <c r="C262" s="5" t="n">
        <v>1</v>
      </c>
      <c r="D262" s="5" t="s">
        <v>709</v>
      </c>
      <c r="E262" s="5" t="s">
        <v>719</v>
      </c>
      <c r="F262" s="5" t="s">
        <v>1586</v>
      </c>
      <c r="G262" s="5" t="s">
        <v>1587</v>
      </c>
      <c r="H262" s="17" t="s">
        <v>92</v>
      </c>
    </row>
    <row r="263" customFormat="false" ht="15" hidden="false" customHeight="false" outlineLevel="0" collapsed="false">
      <c r="A263" s="5" t="s">
        <v>555</v>
      </c>
      <c r="B263" s="5" t="s">
        <v>1588</v>
      </c>
      <c r="C263" s="5" t="n">
        <v>1</v>
      </c>
      <c r="D263" s="5" t="s">
        <v>709</v>
      </c>
      <c r="E263" s="5" t="s">
        <v>719</v>
      </c>
      <c r="F263" s="5" t="s">
        <v>1589</v>
      </c>
      <c r="G263" s="5" t="s">
        <v>1590</v>
      </c>
      <c r="H263" s="17" t="s">
        <v>92</v>
      </c>
    </row>
    <row r="264" customFormat="false" ht="15" hidden="false" customHeight="false" outlineLevel="0" collapsed="false">
      <c r="A264" s="5" t="s">
        <v>1591</v>
      </c>
      <c r="B264" s="5" t="s">
        <v>1592</v>
      </c>
      <c r="C264" s="5" t="n">
        <v>1</v>
      </c>
      <c r="D264" s="5" t="s">
        <v>709</v>
      </c>
      <c r="E264" s="5" t="s">
        <v>719</v>
      </c>
      <c r="F264" s="5" t="s">
        <v>1593</v>
      </c>
      <c r="G264" s="5" t="s">
        <v>1594</v>
      </c>
      <c r="H264" s="17" t="s">
        <v>92</v>
      </c>
    </row>
    <row r="265" customFormat="false" ht="15" hidden="false" customHeight="false" outlineLevel="0" collapsed="false">
      <c r="A265" s="5" t="s">
        <v>1595</v>
      </c>
      <c r="B265" s="5" t="s">
        <v>1596</v>
      </c>
      <c r="C265" s="5" t="n">
        <v>1</v>
      </c>
      <c r="D265" s="5" t="s">
        <v>709</v>
      </c>
      <c r="E265" s="5" t="s">
        <v>719</v>
      </c>
      <c r="F265" s="5" t="s">
        <v>1597</v>
      </c>
      <c r="G265" s="5" t="s">
        <v>1598</v>
      </c>
      <c r="H265" s="17" t="s">
        <v>92</v>
      </c>
    </row>
    <row r="266" customFormat="false" ht="15" hidden="false" customHeight="false" outlineLevel="0" collapsed="false">
      <c r="A266" s="5" t="s">
        <v>561</v>
      </c>
      <c r="B266" s="5" t="s">
        <v>1599</v>
      </c>
      <c r="C266" s="5" t="n">
        <v>2</v>
      </c>
      <c r="D266" s="5" t="s">
        <v>709</v>
      </c>
      <c r="E266" s="5" t="s">
        <v>719</v>
      </c>
      <c r="F266" s="5" t="s">
        <v>1600</v>
      </c>
      <c r="G266" s="5" t="s">
        <v>1601</v>
      </c>
      <c r="H266" s="17" t="s">
        <v>92</v>
      </c>
    </row>
    <row r="267" customFormat="false" ht="15" hidden="false" customHeight="false" outlineLevel="0" collapsed="false">
      <c r="A267" s="5" t="s">
        <v>1602</v>
      </c>
      <c r="B267" s="5" t="s">
        <v>1603</v>
      </c>
      <c r="C267" s="5" t="n">
        <v>2</v>
      </c>
      <c r="D267" s="5" t="s">
        <v>709</v>
      </c>
      <c r="E267" s="5" t="s">
        <v>719</v>
      </c>
      <c r="F267" s="5" t="s">
        <v>1604</v>
      </c>
      <c r="G267" s="5" t="s">
        <v>1605</v>
      </c>
      <c r="H267" s="17" t="s">
        <v>92</v>
      </c>
    </row>
    <row r="268" customFormat="false" ht="15" hidden="false" customHeight="false" outlineLevel="0" collapsed="false">
      <c r="A268" s="5" t="s">
        <v>1606</v>
      </c>
      <c r="B268" s="5" t="s">
        <v>1607</v>
      </c>
      <c r="C268" s="5" t="n">
        <v>1</v>
      </c>
      <c r="D268" s="5" t="s">
        <v>709</v>
      </c>
      <c r="E268" s="5" t="s">
        <v>719</v>
      </c>
      <c r="F268" s="5" t="s">
        <v>1608</v>
      </c>
      <c r="G268" s="5" t="s">
        <v>1609</v>
      </c>
      <c r="H268" s="17" t="s">
        <v>92</v>
      </c>
    </row>
    <row r="269" customFormat="false" ht="15" hidden="false" customHeight="false" outlineLevel="0" collapsed="false">
      <c r="A269" s="5" t="s">
        <v>567</v>
      </c>
      <c r="B269" s="5" t="s">
        <v>1610</v>
      </c>
      <c r="C269" s="5" t="n">
        <v>1</v>
      </c>
      <c r="D269" s="5" t="s">
        <v>709</v>
      </c>
      <c r="E269" s="5" t="s">
        <v>719</v>
      </c>
      <c r="F269" s="5" t="s">
        <v>1611</v>
      </c>
      <c r="G269" s="5" t="s">
        <v>1612</v>
      </c>
      <c r="H269" s="17" t="s">
        <v>92</v>
      </c>
    </row>
    <row r="270" customFormat="false" ht="15" hidden="false" customHeight="false" outlineLevel="0" collapsed="false">
      <c r="A270" s="5" t="s">
        <v>1613</v>
      </c>
      <c r="B270" s="5" t="s">
        <v>1614</v>
      </c>
      <c r="C270" s="5" t="n">
        <v>1</v>
      </c>
      <c r="D270" s="5" t="s">
        <v>709</v>
      </c>
      <c r="E270" s="5" t="s">
        <v>719</v>
      </c>
      <c r="F270" s="5" t="s">
        <v>1615</v>
      </c>
      <c r="G270" s="5" t="s">
        <v>1616</v>
      </c>
      <c r="H270" s="17" t="s">
        <v>92</v>
      </c>
    </row>
    <row r="271" customFormat="false" ht="15" hidden="false" customHeight="false" outlineLevel="0" collapsed="false">
      <c r="A271" s="5" t="s">
        <v>1617</v>
      </c>
      <c r="B271" s="5" t="s">
        <v>1618</v>
      </c>
      <c r="C271" s="5" t="n">
        <v>1</v>
      </c>
      <c r="D271" s="5" t="s">
        <v>709</v>
      </c>
      <c r="E271" s="5" t="s">
        <v>719</v>
      </c>
      <c r="F271" s="5" t="s">
        <v>1619</v>
      </c>
      <c r="G271" s="5" t="s">
        <v>1620</v>
      </c>
      <c r="H271" s="17" t="s">
        <v>92</v>
      </c>
    </row>
    <row r="272" customFormat="false" ht="15" hidden="false" customHeight="false" outlineLevel="0" collapsed="false">
      <c r="A272" s="5" t="s">
        <v>573</v>
      </c>
      <c r="B272" s="5" t="s">
        <v>1621</v>
      </c>
      <c r="C272" s="5" t="n">
        <v>1</v>
      </c>
      <c r="D272" s="5" t="s">
        <v>709</v>
      </c>
      <c r="E272" s="5" t="s">
        <v>719</v>
      </c>
      <c r="F272" s="5" t="s">
        <v>1622</v>
      </c>
      <c r="G272" s="5" t="s">
        <v>1623</v>
      </c>
      <c r="H272" s="17" t="s">
        <v>92</v>
      </c>
    </row>
    <row r="273" customFormat="false" ht="15" hidden="false" customHeight="false" outlineLevel="0" collapsed="false">
      <c r="A273" s="5" t="s">
        <v>1624</v>
      </c>
      <c r="B273" s="5" t="s">
        <v>1625</v>
      </c>
      <c r="C273" s="5" t="n">
        <v>1</v>
      </c>
      <c r="D273" s="5" t="s">
        <v>709</v>
      </c>
      <c r="E273" s="5" t="s">
        <v>719</v>
      </c>
      <c r="F273" s="5" t="s">
        <v>1626</v>
      </c>
      <c r="G273" s="5" t="s">
        <v>1627</v>
      </c>
      <c r="H273" s="17" t="s">
        <v>92</v>
      </c>
    </row>
    <row r="274" customFormat="false" ht="15" hidden="false" customHeight="false" outlineLevel="0" collapsed="false">
      <c r="A274" s="5" t="s">
        <v>1628</v>
      </c>
      <c r="B274" s="5" t="s">
        <v>1629</v>
      </c>
      <c r="C274" s="5" t="n">
        <v>1</v>
      </c>
      <c r="D274" s="5" t="s">
        <v>709</v>
      </c>
      <c r="E274" s="5" t="s">
        <v>719</v>
      </c>
      <c r="F274" s="5" t="s">
        <v>1630</v>
      </c>
      <c r="G274" s="5" t="s">
        <v>1631</v>
      </c>
      <c r="H274" s="17" t="s">
        <v>92</v>
      </c>
    </row>
    <row r="275" customFormat="false" ht="15" hidden="false" customHeight="false" outlineLevel="0" collapsed="false">
      <c r="A275" s="5" t="s">
        <v>1632</v>
      </c>
      <c r="B275" s="5" t="s">
        <v>1633</v>
      </c>
      <c r="C275" s="5" t="n">
        <v>1</v>
      </c>
      <c r="D275" s="5" t="s">
        <v>709</v>
      </c>
      <c r="E275" s="5" t="s">
        <v>719</v>
      </c>
      <c r="F275" s="5" t="s">
        <v>1634</v>
      </c>
      <c r="G275" s="5" t="s">
        <v>1635</v>
      </c>
      <c r="H275" s="17" t="s">
        <v>92</v>
      </c>
    </row>
    <row r="276" customFormat="false" ht="15" hidden="false" customHeight="false" outlineLevel="0" collapsed="false">
      <c r="A276" s="5" t="s">
        <v>1636</v>
      </c>
      <c r="B276" s="5" t="s">
        <v>1637</v>
      </c>
      <c r="C276" s="5" t="n">
        <v>2</v>
      </c>
      <c r="D276" s="5" t="s">
        <v>709</v>
      </c>
      <c r="E276" s="5" t="s">
        <v>719</v>
      </c>
      <c r="F276" s="5" t="s">
        <v>1638</v>
      </c>
      <c r="G276" s="5" t="s">
        <v>1639</v>
      </c>
      <c r="H276" s="17" t="s">
        <v>92</v>
      </c>
    </row>
    <row r="277" customFormat="false" ht="15" hidden="false" customHeight="false" outlineLevel="0" collapsed="false">
      <c r="A277" s="5" t="s">
        <v>1640</v>
      </c>
      <c r="B277" s="5" t="s">
        <v>1641</v>
      </c>
      <c r="C277" s="5" t="n">
        <v>1</v>
      </c>
      <c r="D277" s="5" t="s">
        <v>709</v>
      </c>
      <c r="E277" s="5" t="s">
        <v>719</v>
      </c>
      <c r="F277" s="5" t="s">
        <v>1642</v>
      </c>
      <c r="G277" s="5" t="s">
        <v>1643</v>
      </c>
      <c r="H277" s="17" t="s">
        <v>92</v>
      </c>
    </row>
    <row r="278" customFormat="false" ht="15" hidden="false" customHeight="false" outlineLevel="0" collapsed="false">
      <c r="A278" s="5" t="s">
        <v>1644</v>
      </c>
      <c r="B278" s="5" t="s">
        <v>1645</v>
      </c>
      <c r="C278" s="5" t="n">
        <v>1</v>
      </c>
      <c r="D278" s="5" t="s">
        <v>709</v>
      </c>
      <c r="E278" s="5" t="s">
        <v>719</v>
      </c>
      <c r="F278" s="5" t="s">
        <v>1646</v>
      </c>
      <c r="G278" s="5" t="s">
        <v>1647</v>
      </c>
      <c r="H278" s="17" t="s">
        <v>92</v>
      </c>
    </row>
    <row r="279" customFormat="false" ht="15" hidden="false" customHeight="false" outlineLevel="0" collapsed="false">
      <c r="A279" s="5" t="s">
        <v>1648</v>
      </c>
      <c r="B279" s="5" t="s">
        <v>1649</v>
      </c>
      <c r="C279" s="5" t="n">
        <v>2</v>
      </c>
      <c r="D279" s="5" t="s">
        <v>709</v>
      </c>
      <c r="E279" s="5" t="s">
        <v>719</v>
      </c>
      <c r="F279" s="5" t="s">
        <v>1650</v>
      </c>
      <c r="G279" s="5" t="s">
        <v>1651</v>
      </c>
      <c r="H279" s="17" t="s">
        <v>92</v>
      </c>
    </row>
    <row r="280" customFormat="false" ht="15" hidden="false" customHeight="false" outlineLevel="0" collapsed="false">
      <c r="A280" s="5" t="s">
        <v>1652</v>
      </c>
      <c r="B280" s="5" t="s">
        <v>1653</v>
      </c>
      <c r="C280" s="5" t="n">
        <v>1</v>
      </c>
      <c r="D280" s="5" t="s">
        <v>709</v>
      </c>
      <c r="E280" s="5" t="s">
        <v>719</v>
      </c>
      <c r="F280" s="5" t="s">
        <v>1654</v>
      </c>
      <c r="G280" s="5" t="s">
        <v>1655</v>
      </c>
      <c r="H280" s="17" t="s">
        <v>92</v>
      </c>
    </row>
    <row r="281" customFormat="false" ht="15" hidden="false" customHeight="false" outlineLevel="0" collapsed="false">
      <c r="A281" s="5" t="s">
        <v>594</v>
      </c>
      <c r="B281" s="5" t="s">
        <v>1656</v>
      </c>
      <c r="C281" s="5" t="n">
        <v>1</v>
      </c>
      <c r="D281" s="5" t="s">
        <v>709</v>
      </c>
      <c r="E281" s="5" t="s">
        <v>719</v>
      </c>
      <c r="F281" s="5" t="s">
        <v>1657</v>
      </c>
      <c r="G281" s="5" t="s">
        <v>1658</v>
      </c>
      <c r="H281" s="17" t="s">
        <v>92</v>
      </c>
    </row>
    <row r="282" customFormat="false" ht="15" hidden="false" customHeight="false" outlineLevel="0" collapsed="false">
      <c r="A282" s="5" t="s">
        <v>1659</v>
      </c>
      <c r="B282" s="5" t="s">
        <v>1660</v>
      </c>
      <c r="C282" s="5" t="n">
        <v>1</v>
      </c>
      <c r="D282" s="5" t="s">
        <v>709</v>
      </c>
      <c r="E282" s="5" t="s">
        <v>719</v>
      </c>
      <c r="F282" s="5" t="s">
        <v>1661</v>
      </c>
      <c r="G282" s="5" t="s">
        <v>1662</v>
      </c>
      <c r="H282" s="17" t="s">
        <v>92</v>
      </c>
    </row>
    <row r="283" customFormat="false" ht="15" hidden="false" customHeight="false" outlineLevel="0" collapsed="false">
      <c r="A283" s="5" t="s">
        <v>1663</v>
      </c>
      <c r="B283" s="5" t="s">
        <v>1664</v>
      </c>
      <c r="C283" s="5" t="n">
        <v>1</v>
      </c>
      <c r="D283" s="5" t="s">
        <v>709</v>
      </c>
      <c r="E283" s="5" t="s">
        <v>719</v>
      </c>
      <c r="F283" s="5" t="s">
        <v>1665</v>
      </c>
      <c r="G283" s="5" t="s">
        <v>1666</v>
      </c>
      <c r="H283" s="17" t="s">
        <v>92</v>
      </c>
    </row>
    <row r="284" customFormat="false" ht="15" hidden="false" customHeight="false" outlineLevel="0" collapsed="false">
      <c r="A284" s="5" t="s">
        <v>600</v>
      </c>
      <c r="B284" s="5" t="s">
        <v>1667</v>
      </c>
      <c r="C284" s="5" t="n">
        <v>2</v>
      </c>
      <c r="D284" s="5" t="s">
        <v>709</v>
      </c>
      <c r="E284" s="5" t="s">
        <v>719</v>
      </c>
      <c r="F284" s="5" t="s">
        <v>1668</v>
      </c>
      <c r="G284" s="5" t="s">
        <v>1669</v>
      </c>
      <c r="H284" s="17" t="s">
        <v>92</v>
      </c>
    </row>
    <row r="285" customFormat="false" ht="15" hidden="false" customHeight="false" outlineLevel="0" collapsed="false">
      <c r="A285" s="5" t="s">
        <v>1670</v>
      </c>
      <c r="B285" s="5" t="s">
        <v>1671</v>
      </c>
      <c r="C285" s="5" t="n">
        <v>2</v>
      </c>
      <c r="D285" s="5" t="s">
        <v>709</v>
      </c>
      <c r="E285" s="5" t="s">
        <v>719</v>
      </c>
      <c r="F285" s="5" t="s">
        <v>1672</v>
      </c>
      <c r="G285" s="5" t="s">
        <v>1673</v>
      </c>
      <c r="H285" s="17" t="s">
        <v>92</v>
      </c>
    </row>
    <row r="286" customFormat="false" ht="15" hidden="false" customHeight="false" outlineLevel="0" collapsed="false">
      <c r="A286" s="5" t="s">
        <v>1674</v>
      </c>
      <c r="B286" s="5" t="s">
        <v>1675</v>
      </c>
      <c r="C286" s="5" t="n">
        <v>1</v>
      </c>
      <c r="D286" s="5" t="s">
        <v>709</v>
      </c>
      <c r="E286" s="5" t="s">
        <v>719</v>
      </c>
      <c r="F286" s="5" t="s">
        <v>1676</v>
      </c>
      <c r="G286" s="5" t="s">
        <v>1677</v>
      </c>
      <c r="H286" s="17" t="s">
        <v>92</v>
      </c>
    </row>
    <row r="287" customFormat="false" ht="15" hidden="false" customHeight="false" outlineLevel="0" collapsed="false">
      <c r="A287" s="5" t="s">
        <v>1678</v>
      </c>
      <c r="B287" s="5" t="s">
        <v>1679</v>
      </c>
      <c r="C287" s="5" t="n">
        <v>2</v>
      </c>
      <c r="D287" s="5" t="s">
        <v>709</v>
      </c>
      <c r="E287" s="5" t="s">
        <v>719</v>
      </c>
      <c r="F287" s="5" t="s">
        <v>1680</v>
      </c>
      <c r="G287" s="5" t="s">
        <v>1681</v>
      </c>
      <c r="H287" s="17" t="s">
        <v>92</v>
      </c>
    </row>
    <row r="288" customFormat="false" ht="15" hidden="false" customHeight="false" outlineLevel="0" collapsed="false">
      <c r="A288" s="5" t="s">
        <v>1682</v>
      </c>
      <c r="B288" s="5" t="s">
        <v>1683</v>
      </c>
      <c r="C288" s="5" t="n">
        <v>2</v>
      </c>
      <c r="D288" s="5" t="s">
        <v>709</v>
      </c>
      <c r="E288" s="5" t="s">
        <v>719</v>
      </c>
      <c r="F288" s="5" t="s">
        <v>1684</v>
      </c>
      <c r="G288" s="5" t="s">
        <v>1685</v>
      </c>
      <c r="H288" s="17" t="s">
        <v>92</v>
      </c>
    </row>
    <row r="289" customFormat="false" ht="15" hidden="false" customHeight="false" outlineLevel="0" collapsed="false">
      <c r="A289" s="5" t="s">
        <v>1686</v>
      </c>
      <c r="B289" s="5" t="s">
        <v>1687</v>
      </c>
      <c r="C289" s="5" t="n">
        <v>1</v>
      </c>
      <c r="D289" s="5" t="s">
        <v>709</v>
      </c>
      <c r="E289" s="5" t="s">
        <v>719</v>
      </c>
      <c r="F289" s="5" t="s">
        <v>1688</v>
      </c>
      <c r="G289" s="5" t="s">
        <v>1689</v>
      </c>
      <c r="H289" s="17" t="s">
        <v>92</v>
      </c>
    </row>
    <row r="290" customFormat="false" ht="15" hidden="false" customHeight="false" outlineLevel="0" collapsed="false">
      <c r="A290" s="5" t="s">
        <v>1690</v>
      </c>
      <c r="B290" s="5" t="s">
        <v>1691</v>
      </c>
      <c r="C290" s="5" t="n">
        <v>2</v>
      </c>
      <c r="D290" s="5" t="s">
        <v>709</v>
      </c>
      <c r="E290" s="5" t="s">
        <v>719</v>
      </c>
      <c r="F290" s="5" t="s">
        <v>1692</v>
      </c>
      <c r="G290" s="5" t="s">
        <v>1693</v>
      </c>
      <c r="H290" s="17" t="s">
        <v>92</v>
      </c>
    </row>
    <row r="291" customFormat="false" ht="15" hidden="false" customHeight="false" outlineLevel="0" collapsed="false">
      <c r="A291" s="5" t="s">
        <v>1694</v>
      </c>
      <c r="B291" s="5" t="s">
        <v>1695</v>
      </c>
      <c r="C291" s="5" t="n">
        <v>2</v>
      </c>
      <c r="D291" s="5" t="s">
        <v>709</v>
      </c>
      <c r="E291" s="5" t="s">
        <v>719</v>
      </c>
      <c r="F291" s="5" t="s">
        <v>1696</v>
      </c>
      <c r="G291" s="5" t="s">
        <v>1697</v>
      </c>
      <c r="H291" s="17" t="s">
        <v>92</v>
      </c>
    </row>
    <row r="292" customFormat="false" ht="15" hidden="false" customHeight="false" outlineLevel="0" collapsed="false">
      <c r="A292" s="5" t="s">
        <v>1698</v>
      </c>
      <c r="B292" s="5" t="s">
        <v>1699</v>
      </c>
      <c r="C292" s="5" t="n">
        <v>1</v>
      </c>
      <c r="D292" s="5" t="s">
        <v>709</v>
      </c>
      <c r="E292" s="5" t="s">
        <v>719</v>
      </c>
      <c r="F292" s="5" t="s">
        <v>1700</v>
      </c>
      <c r="G292" s="5" t="s">
        <v>1701</v>
      </c>
      <c r="H292" s="17" t="s">
        <v>92</v>
      </c>
    </row>
    <row r="293" customFormat="false" ht="15" hidden="false" customHeight="false" outlineLevel="0" collapsed="false">
      <c r="A293" s="5" t="s">
        <v>1702</v>
      </c>
      <c r="B293" s="5" t="s">
        <v>1703</v>
      </c>
      <c r="C293" s="5" t="n">
        <v>1</v>
      </c>
      <c r="D293" s="5" t="s">
        <v>709</v>
      </c>
      <c r="E293" s="5" t="s">
        <v>719</v>
      </c>
      <c r="F293" s="5" t="s">
        <v>1704</v>
      </c>
      <c r="G293" s="5" t="s">
        <v>1705</v>
      </c>
      <c r="H293" s="17" t="s">
        <v>92</v>
      </c>
    </row>
    <row r="294" customFormat="false" ht="15" hidden="false" customHeight="false" outlineLevel="0" collapsed="false">
      <c r="A294" s="5" t="s">
        <v>1706</v>
      </c>
      <c r="B294" s="5" t="s">
        <v>1707</v>
      </c>
      <c r="C294" s="5" t="n">
        <v>2</v>
      </c>
      <c r="D294" s="5" t="s">
        <v>709</v>
      </c>
      <c r="E294" s="5" t="s">
        <v>719</v>
      </c>
      <c r="F294" s="5" t="s">
        <v>1708</v>
      </c>
      <c r="G294" s="5" t="s">
        <v>1709</v>
      </c>
      <c r="H294" s="17" t="s">
        <v>92</v>
      </c>
    </row>
    <row r="295" customFormat="false" ht="15" hidden="false" customHeight="false" outlineLevel="0" collapsed="false">
      <c r="A295" s="5" t="s">
        <v>1710</v>
      </c>
      <c r="B295" s="5" t="s">
        <v>1711</v>
      </c>
      <c r="C295" s="5" t="n">
        <v>1</v>
      </c>
      <c r="D295" s="5" t="s">
        <v>709</v>
      </c>
      <c r="E295" s="5" t="s">
        <v>719</v>
      </c>
      <c r="F295" s="5" t="s">
        <v>1712</v>
      </c>
      <c r="G295" s="5" t="s">
        <v>1713</v>
      </c>
      <c r="H295" s="17" t="s">
        <v>92</v>
      </c>
    </row>
    <row r="296" customFormat="false" ht="15" hidden="false" customHeight="false" outlineLevel="0" collapsed="false">
      <c r="A296" s="5" t="s">
        <v>625</v>
      </c>
      <c r="B296" s="5" t="s">
        <v>1714</v>
      </c>
      <c r="C296" s="5" t="n">
        <v>1</v>
      </c>
      <c r="D296" s="5" t="s">
        <v>709</v>
      </c>
      <c r="E296" s="5" t="s">
        <v>719</v>
      </c>
      <c r="F296" s="5" t="s">
        <v>1715</v>
      </c>
      <c r="G296" s="5" t="s">
        <v>1716</v>
      </c>
      <c r="H296" s="17" t="s">
        <v>92</v>
      </c>
    </row>
    <row r="297" customFormat="false" ht="15" hidden="false" customHeight="false" outlineLevel="0" collapsed="false">
      <c r="A297" s="5" t="s">
        <v>1717</v>
      </c>
      <c r="B297" s="5" t="s">
        <v>1718</v>
      </c>
      <c r="C297" s="5" t="n">
        <v>1</v>
      </c>
      <c r="D297" s="5" t="s">
        <v>709</v>
      </c>
      <c r="E297" s="5" t="s">
        <v>719</v>
      </c>
      <c r="F297" s="5" t="s">
        <v>1719</v>
      </c>
      <c r="G297" s="5" t="s">
        <v>1720</v>
      </c>
      <c r="H297" s="17" t="s">
        <v>92</v>
      </c>
    </row>
    <row r="298" customFormat="false" ht="15" hidden="false" customHeight="false" outlineLevel="0" collapsed="false">
      <c r="A298" s="5" t="s">
        <v>1721</v>
      </c>
      <c r="B298" s="5" t="s">
        <v>1722</v>
      </c>
      <c r="C298" s="5" t="n">
        <v>1</v>
      </c>
      <c r="D298" s="5" t="s">
        <v>709</v>
      </c>
      <c r="E298" s="5" t="s">
        <v>719</v>
      </c>
      <c r="F298" s="5" t="s">
        <v>1723</v>
      </c>
      <c r="G298" s="5" t="s">
        <v>1724</v>
      </c>
      <c r="H298" s="17" t="s">
        <v>92</v>
      </c>
    </row>
    <row r="299" customFormat="false" ht="15" hidden="false" customHeight="false" outlineLevel="0" collapsed="false">
      <c r="A299" s="5" t="s">
        <v>631</v>
      </c>
      <c r="B299" s="5" t="s">
        <v>1725</v>
      </c>
      <c r="C299" s="5" t="n">
        <v>1</v>
      </c>
      <c r="D299" s="5" t="s">
        <v>709</v>
      </c>
      <c r="E299" s="5" t="s">
        <v>719</v>
      </c>
      <c r="F299" s="5" t="s">
        <v>1726</v>
      </c>
      <c r="G299" s="5" t="s">
        <v>1727</v>
      </c>
      <c r="H299" s="17" t="s">
        <v>92</v>
      </c>
    </row>
    <row r="300" customFormat="false" ht="15" hidden="false" customHeight="false" outlineLevel="0" collapsed="false">
      <c r="A300" s="5" t="s">
        <v>1728</v>
      </c>
      <c r="B300" s="5" t="s">
        <v>1729</v>
      </c>
      <c r="C300" s="5" t="n">
        <v>1</v>
      </c>
      <c r="D300" s="5" t="s">
        <v>709</v>
      </c>
      <c r="E300" s="5" t="s">
        <v>719</v>
      </c>
      <c r="F300" s="5" t="s">
        <v>1730</v>
      </c>
      <c r="G300" s="5" t="s">
        <v>1731</v>
      </c>
      <c r="H300" s="17" t="s">
        <v>92</v>
      </c>
    </row>
    <row r="301" customFormat="false" ht="15" hidden="false" customHeight="false" outlineLevel="0" collapsed="false">
      <c r="A301" s="5" t="s">
        <v>1732</v>
      </c>
      <c r="B301" s="5" t="s">
        <v>1733</v>
      </c>
      <c r="C301" s="5" t="n">
        <v>1</v>
      </c>
      <c r="D301" s="5" t="s">
        <v>709</v>
      </c>
      <c r="E301" s="5" t="s">
        <v>719</v>
      </c>
      <c r="F301" s="5" t="s">
        <v>1734</v>
      </c>
      <c r="G301" s="5" t="s">
        <v>1735</v>
      </c>
      <c r="H301" s="17" t="s">
        <v>92</v>
      </c>
    </row>
    <row r="302" customFormat="false" ht="15" hidden="false" customHeight="false" outlineLevel="0" collapsed="false">
      <c r="A302" s="5" t="s">
        <v>1736</v>
      </c>
      <c r="B302" s="5" t="s">
        <v>1737</v>
      </c>
      <c r="C302" s="5" t="n">
        <v>2</v>
      </c>
      <c r="D302" s="5" t="s">
        <v>709</v>
      </c>
      <c r="E302" s="5" t="s">
        <v>719</v>
      </c>
      <c r="F302" s="5" t="s">
        <v>1738</v>
      </c>
      <c r="G302" s="5" t="s">
        <v>1739</v>
      </c>
      <c r="H302" s="17" t="s">
        <v>92</v>
      </c>
    </row>
    <row r="303" customFormat="false" ht="15" hidden="false" customHeight="false" outlineLevel="0" collapsed="false">
      <c r="A303" s="5" t="s">
        <v>1740</v>
      </c>
      <c r="B303" s="5" t="s">
        <v>1741</v>
      </c>
      <c r="C303" s="5" t="n">
        <v>1</v>
      </c>
      <c r="D303" s="5" t="s">
        <v>709</v>
      </c>
      <c r="E303" s="5" t="s">
        <v>719</v>
      </c>
      <c r="F303" s="5" t="s">
        <v>1742</v>
      </c>
      <c r="G303" s="5" t="s">
        <v>1743</v>
      </c>
      <c r="H303" s="17" t="s">
        <v>92</v>
      </c>
    </row>
    <row r="304" customFormat="false" ht="15" hidden="false" customHeight="false" outlineLevel="0" collapsed="false">
      <c r="A304" s="5" t="s">
        <v>1744</v>
      </c>
      <c r="B304" s="5" t="s">
        <v>1745</v>
      </c>
      <c r="C304" s="5" t="n">
        <v>2</v>
      </c>
      <c r="D304" s="5" t="s">
        <v>709</v>
      </c>
      <c r="E304" s="5" t="s">
        <v>719</v>
      </c>
      <c r="F304" s="5" t="s">
        <v>1746</v>
      </c>
      <c r="G304" s="5" t="s">
        <v>1747</v>
      </c>
      <c r="H304" s="17" t="s">
        <v>92</v>
      </c>
    </row>
    <row r="305" customFormat="false" ht="15" hidden="false" customHeight="false" outlineLevel="0" collapsed="false">
      <c r="A305" s="5" t="s">
        <v>642</v>
      </c>
      <c r="B305" s="5" t="s">
        <v>1748</v>
      </c>
      <c r="C305" s="5" t="n">
        <v>2</v>
      </c>
      <c r="D305" s="5" t="s">
        <v>709</v>
      </c>
      <c r="E305" s="5" t="s">
        <v>719</v>
      </c>
      <c r="F305" s="5" t="s">
        <v>1749</v>
      </c>
      <c r="G305" s="5" t="s">
        <v>1750</v>
      </c>
      <c r="H305" s="17" t="s">
        <v>92</v>
      </c>
    </row>
    <row r="306" customFormat="false" ht="15" hidden="false" customHeight="false" outlineLevel="0" collapsed="false">
      <c r="A306" s="5" t="s">
        <v>1751</v>
      </c>
      <c r="B306" s="5" t="s">
        <v>1752</v>
      </c>
      <c r="C306" s="5" t="n">
        <v>2</v>
      </c>
      <c r="D306" s="5" t="s">
        <v>709</v>
      </c>
      <c r="E306" s="5" t="s">
        <v>719</v>
      </c>
      <c r="F306" s="5" t="s">
        <v>1753</v>
      </c>
      <c r="G306" s="5" t="s">
        <v>1754</v>
      </c>
      <c r="H306" s="17" t="s">
        <v>92</v>
      </c>
    </row>
    <row r="307" customFormat="false" ht="15" hidden="false" customHeight="false" outlineLevel="0" collapsed="false">
      <c r="A307" s="5" t="s">
        <v>1755</v>
      </c>
      <c r="B307" s="5" t="s">
        <v>1756</v>
      </c>
      <c r="C307" s="5" t="n">
        <v>1</v>
      </c>
      <c r="D307" s="5" t="s">
        <v>709</v>
      </c>
      <c r="E307" s="5" t="s">
        <v>719</v>
      </c>
      <c r="F307" s="5" t="s">
        <v>1757</v>
      </c>
      <c r="G307" s="5" t="s">
        <v>1758</v>
      </c>
      <c r="H307" s="17" t="s">
        <v>92</v>
      </c>
    </row>
    <row r="308" customFormat="false" ht="15" hidden="false" customHeight="false" outlineLevel="0" collapsed="false">
      <c r="A308" s="5" t="s">
        <v>648</v>
      </c>
      <c r="B308" s="5" t="s">
        <v>1759</v>
      </c>
      <c r="C308" s="5" t="n">
        <v>1</v>
      </c>
      <c r="D308" s="5" t="s">
        <v>709</v>
      </c>
      <c r="E308" s="5" t="s">
        <v>719</v>
      </c>
      <c r="F308" s="5" t="s">
        <v>1760</v>
      </c>
      <c r="G308" s="5" t="s">
        <v>1761</v>
      </c>
      <c r="H308" s="17" t="s">
        <v>92</v>
      </c>
    </row>
    <row r="309" customFormat="false" ht="15" hidden="false" customHeight="false" outlineLevel="0" collapsed="false">
      <c r="A309" s="5" t="s">
        <v>1762</v>
      </c>
      <c r="B309" s="5" t="s">
        <v>1763</v>
      </c>
      <c r="C309" s="5" t="n">
        <v>1</v>
      </c>
      <c r="D309" s="5" t="s">
        <v>709</v>
      </c>
      <c r="E309" s="5" t="s">
        <v>719</v>
      </c>
      <c r="F309" s="5" t="s">
        <v>1764</v>
      </c>
      <c r="G309" s="5" t="s">
        <v>1765</v>
      </c>
      <c r="H309" s="17" t="s">
        <v>92</v>
      </c>
    </row>
    <row r="310" customFormat="false" ht="15" hidden="false" customHeight="false" outlineLevel="0" collapsed="false">
      <c r="A310" s="5" t="s">
        <v>1766</v>
      </c>
      <c r="B310" s="5" t="s">
        <v>1767</v>
      </c>
      <c r="C310" s="5" t="n">
        <v>1</v>
      </c>
      <c r="D310" s="5" t="s">
        <v>709</v>
      </c>
      <c r="E310" s="5" t="s">
        <v>719</v>
      </c>
      <c r="F310" s="5" t="s">
        <v>1768</v>
      </c>
      <c r="G310" s="5" t="s">
        <v>1769</v>
      </c>
      <c r="H310" s="17" t="s">
        <v>92</v>
      </c>
    </row>
    <row r="311" customFormat="false" ht="15" hidden="false" customHeight="false" outlineLevel="0" collapsed="false">
      <c r="A311" s="5" t="s">
        <v>654</v>
      </c>
      <c r="B311" s="5" t="s">
        <v>1770</v>
      </c>
      <c r="C311" s="5" t="n">
        <v>1</v>
      </c>
      <c r="D311" s="5" t="s">
        <v>709</v>
      </c>
      <c r="E311" s="5" t="s">
        <v>719</v>
      </c>
      <c r="F311" s="5" t="s">
        <v>1771</v>
      </c>
      <c r="G311" s="5" t="s">
        <v>1772</v>
      </c>
      <c r="H311" s="17" t="s">
        <v>92</v>
      </c>
    </row>
    <row r="312" customFormat="false" ht="15" hidden="false" customHeight="false" outlineLevel="0" collapsed="false">
      <c r="A312" s="5" t="s">
        <v>1773</v>
      </c>
      <c r="B312" s="5" t="s">
        <v>1774</v>
      </c>
      <c r="C312" s="5" t="n">
        <v>1</v>
      </c>
      <c r="D312" s="5" t="s">
        <v>709</v>
      </c>
      <c r="E312" s="5" t="s">
        <v>719</v>
      </c>
      <c r="F312" s="5" t="s">
        <v>1775</v>
      </c>
      <c r="G312" s="5" t="s">
        <v>1776</v>
      </c>
      <c r="H312" s="17" t="s">
        <v>92</v>
      </c>
    </row>
    <row r="313" customFormat="false" ht="15" hidden="false" customHeight="false" outlineLevel="0" collapsed="false">
      <c r="A313" s="5" t="s">
        <v>1777</v>
      </c>
      <c r="B313" s="5" t="s">
        <v>1778</v>
      </c>
      <c r="C313" s="5" t="n">
        <v>1</v>
      </c>
      <c r="D313" s="5" t="s">
        <v>709</v>
      </c>
      <c r="E313" s="5" t="s">
        <v>719</v>
      </c>
      <c r="F313" s="5" t="s">
        <v>1779</v>
      </c>
      <c r="G313" s="5" t="s">
        <v>1780</v>
      </c>
      <c r="H313" s="17" t="s">
        <v>92</v>
      </c>
    </row>
    <row r="314" customFormat="false" ht="15" hidden="false" customHeight="false" outlineLevel="0" collapsed="false">
      <c r="A314" s="5" t="s">
        <v>1781</v>
      </c>
      <c r="B314" s="5" t="s">
        <v>1782</v>
      </c>
      <c r="C314" s="5" t="n">
        <v>10</v>
      </c>
      <c r="D314" s="5" t="s">
        <v>709</v>
      </c>
      <c r="E314" s="5" t="s">
        <v>719</v>
      </c>
      <c r="F314" s="5" t="s">
        <v>1783</v>
      </c>
      <c r="G314" s="5" t="s">
        <v>1784</v>
      </c>
      <c r="H314" s="17" t="s">
        <v>92</v>
      </c>
    </row>
    <row r="315" customFormat="false" ht="15" hidden="false" customHeight="false" outlineLevel="0" collapsed="false">
      <c r="A315" s="5" t="s">
        <v>1785</v>
      </c>
      <c r="B315" s="5" t="s">
        <v>1786</v>
      </c>
      <c r="C315" s="6" t="n">
        <v>270.5518845</v>
      </c>
      <c r="D315" s="5" t="s">
        <v>709</v>
      </c>
      <c r="E315" s="5" t="s">
        <v>719</v>
      </c>
      <c r="F315" s="5" t="s">
        <v>1787</v>
      </c>
      <c r="G315" s="5" t="s">
        <v>1788</v>
      </c>
      <c r="H315" s="17" t="s">
        <v>92</v>
      </c>
    </row>
    <row r="316" customFormat="false" ht="15" hidden="false" customHeight="false" outlineLevel="0" collapsed="false">
      <c r="A316" s="5" t="s">
        <v>1789</v>
      </c>
      <c r="B316" s="5" t="s">
        <v>1790</v>
      </c>
      <c r="C316" s="5" t="n">
        <v>10</v>
      </c>
      <c r="D316" s="5" t="s">
        <v>709</v>
      </c>
      <c r="E316" s="5" t="s">
        <v>719</v>
      </c>
      <c r="F316" s="5" t="s">
        <v>1791</v>
      </c>
      <c r="G316" s="5" t="s">
        <v>1792</v>
      </c>
      <c r="H316" s="17" t="s">
        <v>92</v>
      </c>
    </row>
    <row r="317" customFormat="false" ht="15" hidden="false" customHeight="false" outlineLevel="0" collapsed="false">
      <c r="A317" s="5" t="s">
        <v>1793</v>
      </c>
      <c r="B317" s="5" t="s">
        <v>1794</v>
      </c>
      <c r="C317" s="6" t="n">
        <v>270.5518845</v>
      </c>
      <c r="D317" s="5" t="s">
        <v>709</v>
      </c>
      <c r="E317" s="5" t="s">
        <v>719</v>
      </c>
      <c r="F317" s="5" t="s">
        <v>1795</v>
      </c>
      <c r="G317" s="5" t="s">
        <v>1796</v>
      </c>
      <c r="H317" s="17" t="s">
        <v>92</v>
      </c>
    </row>
  </sheetData>
  <hyperlinks>
    <hyperlink ref="H4" r:id="rId1" display="https://drive.google.com/file/d/1CxHINAnd0jSBd5QuU5_82_sKCJAVXu9r/view"/>
    <hyperlink ref="H5" r:id="rId2" display="https://drive.google.com/file/d/1CxHINAnd0jSBd5QuU5_82_sKCJAVXu9r/view"/>
    <hyperlink ref="H6" r:id="rId3" display="https://drive.google.com/file/d/1CxHINAnd0jSBd5QuU5_82_sKCJAVXu9r/view"/>
    <hyperlink ref="H7" r:id="rId4" display="https://drive.google.com/file/d/1CxHINAnd0jSBd5QuU5_82_sKCJAVXu9r/view"/>
    <hyperlink ref="H8" r:id="rId5" display="https://drive.google.com/file/d/1CxHINAnd0jSBd5QuU5_82_sKCJAVXu9r/view"/>
    <hyperlink ref="H9" r:id="rId6" display="https://drive.google.com/file/d/1CxHINAnd0jSBd5QuU5_82_sKCJAVXu9r/view"/>
    <hyperlink ref="H10" r:id="rId7" display="https://drive.google.com/file/d/1CxHINAnd0jSBd5QuU5_82_sKCJAVXu9r/view"/>
    <hyperlink ref="H11" r:id="rId8" display="https://drive.google.com/file/d/1CxHINAnd0jSBd5QuU5_82_sKCJAVXu9r/view"/>
    <hyperlink ref="H12" r:id="rId9" display="https://drive.google.com/file/d/1CxHINAnd0jSBd5QuU5_82_sKCJAVXu9r/view"/>
    <hyperlink ref="H13" r:id="rId10" display="https://drive.google.com/file/d/1CxHINAnd0jSBd5QuU5_82_sKCJAVXu9r/view"/>
    <hyperlink ref="H14" r:id="rId11" display="https://drive.google.com/file/d/1SwGuppOSsaAXO29onhyWUH40O1h_4XmG/view"/>
    <hyperlink ref="H15" r:id="rId12" display="https://drive.google.com/file/d/1SwGuppOSsaAXO29onhyWUH40O1h_4XmG/view"/>
    <hyperlink ref="H17" r:id="rId13" display="https://www.exapro.com/ermak-hgs-2600-x-6-p240816233/"/>
    <hyperlink ref="H18" r:id="rId14" display="https://www.exapro.com/ermak-hgs-2600-x-6-p240816233/"/>
    <hyperlink ref="H19" r:id="rId15" display="https://www.exapro.com/ermak-hgs-2600-x-6-p240816233/"/>
    <hyperlink ref="H20" r:id="rId16" display="https://www.goldsupplier.com/provide/p106252035.html"/>
    <hyperlink ref="H21" r:id="rId17" display="https://www.goldsupplier.com/provide/p106252035.html"/>
    <hyperlink ref="H22" r:id="rId18" display="https://www.goldsupplier.com/provide/p106252035.html"/>
    <hyperlink ref="H23" r:id="rId19" display="https://www.exapro.com/sp/sangiacomo-t130rce-19888"/>
    <hyperlink ref="H24" r:id="rId20" display="https://www.exapro.com/sp/sangiacomo-t130rce-19888"/>
    <hyperlink ref="H25" r:id="rId21" display="https://www.exapro.com/sp/sangiacomo-t130rce-19888"/>
    <hyperlink ref="H26" r:id="rId22" display="https://www.workplace-products.co.uk/media/wysiwyg/infographics/handling-lifting/3000KG%20SINGLE%20SCISSOR%20LIFT%20TABLES.pdf"/>
    <hyperlink ref="H27" r:id="rId23" display="https://www.workplace-products.co.uk/media/wysiwyg/infographics/handling-lifting/3000KG%20SINGLE%20SCISSOR%20LIFT%20TABLES.pdf"/>
    <hyperlink ref="H28" r:id="rId24" display="https://www.workplace-products.co.uk/media/wysiwyg/infographics/handling-lifting/3000KG%20SINGLE%20SCISSOR%20LIFT%20TABLES.pdf"/>
    <hyperlink ref="H29" r:id="rId25" display="https://drive.google.com/file/d/1vnSpthna2z5ooZpg7lA9GT3m9wSFvEh6/view"/>
    <hyperlink ref="H30" r:id="rId26" display="https://drive.google.com/file/d/1vnSpthna2z5ooZpg7lA9GT3m9wSFvEh6/view"/>
    <hyperlink ref="H31" r:id="rId27" display="https://drive.google.com/file/d/1vnSpthna2z5ooZpg7lA9GT3m9wSFvEh6/view"/>
    <hyperlink ref="H32" r:id="rId28" display="https://drive.google.com/file/d/1vnSpthna2z5ooZpg7lA9GT3m9wSFvEh6/view"/>
    <hyperlink ref="H33" r:id="rId29" display="https://drive.google.com/file/d/1vnSpthna2z5ooZpg7lA9GT3m9wSFvEh6/view"/>
    <hyperlink ref="H34" r:id="rId30" display="https://drive.google.com/file/d/1vnSpthna2z5ooZpg7lA9GT3m9wSFvEh6/view"/>
    <hyperlink ref="H35" r:id="rId31" display="https://drive.google.com/file/d/12VJ8POMn2I0VnGP2nnL7FZAyA2cLw37y/view"/>
    <hyperlink ref="H36" r:id="rId32" display="https://drive.google.com/file/d/12VJ8POMn2I0VnGP2nnL7FZAyA2cLw37y/view"/>
    <hyperlink ref="H37" r:id="rId33" display="https://drive.google.com/file/d/12VJ8POMn2I0VnGP2nnL7FZAyA2cLw37y/view"/>
    <hyperlink ref="H38" r:id="rId34" display="https://drive.google.com/file/d/12VJ8POMn2I0VnGP2nnL7FZAyA2cLw37y/view"/>
    <hyperlink ref="H39" r:id="rId35" display="https://drive.google.com/file/d/12VJ8POMn2I0VnGP2nnL7FZAyA2cLw37y/view"/>
    <hyperlink ref="H40" r:id="rId36" display="https://drive.google.com/file/d/12VJ8POMn2I0VnGP2nnL7FZAyA2cLw37y/view"/>
    <hyperlink ref="H41" r:id="rId37" display="https://china.org.ru/product/1607235162"/>
    <hyperlink ref="H42" r:id="rId38" display="https://china.org.ru/product/1607235162"/>
    <hyperlink ref="H43" r:id="rId39" display="https://china.org.ru/product/1607235162"/>
    <hyperlink ref="H44" r:id="rId40" display="https://resale.info/en/ak-bend-akm-250-motor./No-165720938"/>
    <hyperlink ref="H45" r:id="rId41" display="https://resale.info/en/ak-bend-akm-250-motor./No-165720938"/>
    <hyperlink ref="H46" r:id="rId42" display="https://resale.info/en/ak-bend-akm-250-motor./No-165720938"/>
    <hyperlink ref="H47" r:id="rId43" display="https://drive.google.com/file/d/1WuRcYbuJsfRRfZVtH2vvID_x4sdWeMNW/view"/>
    <hyperlink ref="H48" r:id="rId44" display="https://drive.google.com/file/d/1WuRcYbuJsfRRfZVtH2vvID_x4sdWeMNW/view"/>
    <hyperlink ref="H49" r:id="rId45" display="https://drive.google.com/file/d/1WuRcYbuJsfRRfZVtH2vvID_x4sdWeMNW/view"/>
    <hyperlink ref="H50" r:id="rId46" display="https://drive.google.com/file/d/1cekl22rgI4pB7ik3qNjOe7DJZVNJ-voK/view"/>
    <hyperlink ref="H51" r:id="rId47" display="https://drive.google.com/file/d/1cekl22rgI4pB7ik3qNjOe7DJZVNJ-voK/view"/>
    <hyperlink ref="H52" r:id="rId48" display="https://drive.google.com/file/d/1cekl22rgI4pB7ik3qNjOe7DJZVNJ-voK/view"/>
    <hyperlink ref="H53" r:id="rId49" display="https://drive.google.com/file/d/1cekl22rgI4pB7ik3qNjOe7DJZVNJ-voK/view"/>
    <hyperlink ref="H54" r:id="rId50" display="https://drive.google.com/file/d/1cekl22rgI4pB7ik3qNjOe7DJZVNJ-voK/view"/>
    <hyperlink ref="H55" r:id="rId51" display="https://drive.google.com/file/d/1cekl22rgI4pB7ik3qNjOe7DJZVNJ-voK/view"/>
    <hyperlink ref="H56" r:id="rId52" display="https://drive.google.com/file/d/1cekl22rgI4pB7ik3qNjOe7DJZVNJ-voK/view"/>
    <hyperlink ref="H57" r:id="rId53" display="https://drive.google.com/file/d/1cekl22rgI4pB7ik3qNjOe7DJZVNJ-voK/view"/>
    <hyperlink ref="H58" r:id="rId54" display="https://drive.google.com/file/d/1EgGHDA3POFrFvroBTnP4I855u6ADRbJu/view"/>
    <hyperlink ref="H59" r:id="rId55" display="https://drive.google.com/file/d/1EgGHDA3POFrFvroBTnP4I855u6ADRbJu/view"/>
    <hyperlink ref="H60" r:id="rId56" display="https://drive.google.com/file/d/1EgGHDA3POFrFvroBTnP4I855u6ADRbJu/view"/>
    <hyperlink ref="H61" r:id="rId57" display="https://drive.google.com/file/d/1xN6cXKY00nOszWwFanDEHzmIV3x-bABC/view"/>
    <hyperlink ref="H62" r:id="rId58" display="https://drive.google.com/file/d/1xN6cXKY00nOszWwFanDEHzmIV3x-bABC/view"/>
    <hyperlink ref="H63" r:id="rId59" display="https://drive.google.com/file/d/1xN6cXKY00nOszWwFanDEHzmIV3x-bABC/view"/>
    <hyperlink ref="H64" r:id="rId60" display="https://drive.google.com/file/d/1xN6cXKY00nOszWwFanDEHzmIV3x-bABC/view"/>
    <hyperlink ref="H65" r:id="rId61" display="https://drive.google.com/file/d/1xN6cXKY00nOszWwFanDEHzmIV3x-bABC/view"/>
    <hyperlink ref="H66" r:id="rId62" display="https://drive.google.com/file/d/1xN6cXKY00nOszWwFanDEHzmIV3x-bABC/view"/>
    <hyperlink ref="H67" r:id="rId63" display="https://drive.google.com/file/d/1WEVAv6MnsB0PGj5eDDb08PFQzJeXyT88/view"/>
    <hyperlink ref="H68" r:id="rId64" display="https://drive.google.com/file/d/1WEVAv6MnsB0PGj5eDDb08PFQzJeXyT88/view"/>
    <hyperlink ref="H69" r:id="rId65" display="https://drive.google.com/file/d/1WEVAv6MnsB0PGj5eDDb08PFQzJeXyT88/view"/>
    <hyperlink ref="H70" r:id="rId66" display="https://drive.google.com/file/d/1WEVAv6MnsB0PGj5eDDb08PFQzJeXyT88/view"/>
    <hyperlink ref="H71" r:id="rId67" display="https://drive.google.com/file/d/12VJ8POMn2I0VnGP2nnL7FZAyA2cLw37y/view"/>
    <hyperlink ref="H72" r:id="rId68" display="https://drive.google.com/file/d/12VJ8POMn2I0VnGP2nnL7FZAyA2cLw37y/view"/>
    <hyperlink ref="H73" r:id="rId69" display="https://drive.google.com/file/d/12VJ8POMn2I0VnGP2nnL7FZAyA2cLw37y/view"/>
    <hyperlink ref="H74" r:id="rId70" display="https://drive.google.com/file/d/1DD4vE8sv9Qt4VWxQzgCuqXfTtXliDViB/view"/>
    <hyperlink ref="H75" r:id="rId71" display="https://drive.google.com/file/d/1DD4vE8sv9Qt4VWxQzgCuqXfTtXliDViB/view"/>
    <hyperlink ref="H76" r:id="rId72" display="https://drive.google.com/file/d/1DD4vE8sv9Qt4VWxQzgCuqXfTtXliDViB/view"/>
    <hyperlink ref="H77" r:id="rId73" display="https://drive.google.com/file/d/1BvF9XAzfgpqw7VGH9EFjVisbBKNz9KFx/view"/>
    <hyperlink ref="H78" r:id="rId74" display="https://drive.google.com/file/d/1BvF9XAzfgpqw7VGH9EFjVisbBKNz9KFx/view"/>
    <hyperlink ref="H79" r:id="rId75" display="https://drive.google.com/file/d/1BvF9XAzfgpqw7VGH9EFjVisbBKNz9KFx/view"/>
    <hyperlink ref="H80" r:id="rId76" display="https://www.goldsupplier.com/provide/p106252607.html"/>
    <hyperlink ref="H81" r:id="rId77" display="https://www.goldsupplier.com/provide/p106252607.html"/>
    <hyperlink ref="H82" r:id="rId78" display="https://www.goldsupplier.com/provide/p106252607.html"/>
    <hyperlink ref="H83" r:id="rId79" display="https://westermans.com/proarc-tr-0100-welding-rotators-1-ton-single-phase.aspx"/>
    <hyperlink ref="H84" r:id="rId80" display="https://westermans.com/proarc-tr-0100-welding-rotators-1-ton-single-phase.aspx"/>
    <hyperlink ref="H85" r:id="rId81" display="https://westermans.com/proarc-tr-0100-welding-rotators-1-ton-single-phase.aspx"/>
    <hyperlink ref="H86" r:id="rId82" display="https://westermans.com/proarc-tr-0100-welding-rotators-1-ton-single-phase.aspx"/>
    <hyperlink ref="H87" r:id="rId83" display="https://westermans.com/proarc-tr-0100-welding-rotators-1-ton-single-phase.aspx"/>
    <hyperlink ref="H88" r:id="rId84" display="https://westermans.com/proarc-tr-0100-welding-rotators-1-ton-single-phase.aspx"/>
    <hyperlink ref="H89" r:id="rId85" display="https://drive.google.com/file/d/1l8M5M-2Xjh6rpiypYBHoqaVkF-1-1pfM/view"/>
    <hyperlink ref="H90" r:id="rId86" display="https://drive.google.com/file/d/1l8M5M-2Xjh6rpiypYBHoqaVkF-1-1pfM/view"/>
    <hyperlink ref="H91" r:id="rId87" display="https://drive.google.com/file/d/1l8M5M-2Xjh6rpiypYBHoqaVkF-1-1pfM/view"/>
    <hyperlink ref="H92" r:id="rId88" display="https://drive.google.com/file/d/1l8M5M-2Xjh6rpiypYBHoqaVkF-1-1pfM/view"/>
    <hyperlink ref="H93" r:id="rId89" display="https://drive.google.com/file/d/1l8M5M-2Xjh6rpiypYBHoqaVkF-1-1pfM/view"/>
    <hyperlink ref="H94" r:id="rId90" display="https://drive.google.com/file/d/1l8M5M-2Xjh6rpiypYBHoqaVkF-1-1pfM/view"/>
    <hyperlink ref="H95" r:id="rId91" display="https://drive.google.com/file/d/1BvF9XAzfgpqw7VGH9EFjVisbBKNz9KFx/view"/>
    <hyperlink ref="H96" r:id="rId92" display="https://drive.google.com/file/d/1BvF9XAzfgpqw7VGH9EFjVisbBKNz9KFx/view"/>
    <hyperlink ref="H97" r:id="rId93" display="https://drive.google.com/file/d/1BvF9XAzfgpqw7VGH9EFjVisbBKNz9KFx/view"/>
    <hyperlink ref="H98" r:id="rId94" display="https://drive.google.com/file/d/1BvF9XAzfgpqw7VGH9EFjVisbBKNz9KFx/view"/>
    <hyperlink ref="H99" r:id="rId95" display="https://drive.google.com/file/d/1BvF9XAzfgpqw7VGH9EFjVisbBKNz9KFx/view"/>
    <hyperlink ref="H100" r:id="rId96" display="https://drive.google.com/file/d/1BvF9XAzfgpqw7VGH9EFjVisbBKNz9KFx/view"/>
    <hyperlink ref="H101" r:id="rId97" display="https://drive.google.com/file/d/1BvF9XAzfgpqw7VGH9EFjVisbBKNz9KFx/view"/>
    <hyperlink ref="H102" r:id="rId98" display="https://drive.google.com/file/d/1BvF9XAzfgpqw7VGH9EFjVisbBKNz9KFx/view"/>
    <hyperlink ref="H103" r:id="rId99" display="https://drive.google.com/file/d/1BvF9XAzfgpqw7VGH9EFjVisbBKNz9KFx/view"/>
    <hyperlink ref="H104" r:id="rId100" display="https://drive.google.com/file/d/1BvF9XAzfgpqw7VGH9EFjVisbBKNz9KFx/view"/>
    <hyperlink ref="H105" r:id="rId101" display="https://drive.google.com/file/d/1BvF9XAzfgpqw7VGH9EFjVisbBKNz9KFx/view"/>
    <hyperlink ref="H106" r:id="rId102" display="https://drive.google.com/file/d/1BvF9XAzfgpqw7VGH9EFjVisbBKNz9KFx/view"/>
    <hyperlink ref="H107" r:id="rId103" display="https://drive.google.com/file/d/1BvF9XAzfgpqw7VGH9EFjVisbBKNz9KFx/view"/>
    <hyperlink ref="H108" r:id="rId104" display="https://drive.google.com/file/d/1BvF9XAzfgpqw7VGH9EFjVisbBKNz9KFx/view"/>
    <hyperlink ref="H109" r:id="rId105" display="https://drive.google.com/file/d/1BvF9XAzfgpqw7VGH9EFjVisbBKNz9KFx/view"/>
    <hyperlink ref="H110" r:id="rId106" display="https://drive.google.com/file/d/1BvF9XAzfgpqw7VGH9EFjVisbBKNz9KFx/view"/>
    <hyperlink ref="H111" r:id="rId107" display="https://drive.google.com/file/d/1BvF9XAzfgpqw7VGH9EFjVisbBKNz9KFx/view"/>
    <hyperlink ref="H112" r:id="rId108" display="https://drive.google.com/file/d/1BvF9XAzfgpqw7VGH9EFjVisbBKNz9KFx/view"/>
    <hyperlink ref="H113" r:id="rId109" display="https://drive.google.com/file/d/1BvF9XAzfgpqw7VGH9EFjVisbBKNz9KFx/view"/>
    <hyperlink ref="H114" r:id="rId110" display="https://drive.google.com/file/d/1BvF9XAzfgpqw7VGH9EFjVisbBKNz9KFx/view"/>
    <hyperlink ref="H115" r:id="rId111" display="https://drive.google.com/file/d/1BvF9XAzfgpqw7VGH9EFjVisbBKNz9KFx/view"/>
    <hyperlink ref="H116" r:id="rId112" display="https://drive.google.com/file/d/1SwGuppOSsaAXO29onhyWUH40O1h_4XmG/view"/>
    <hyperlink ref="H117" r:id="rId113" display="https://drive.google.com/file/d/1R3_p43lPLX9DZCkMme8r_K2Tc-CYtJ40/view"/>
    <hyperlink ref="H118" r:id="rId114" display="https://drive.google.com/file/d/1R3_p43lPLX9DZCkMme8r_K2Tc-CYtJ40/view"/>
    <hyperlink ref="H119" r:id="rId115" display="https://drive.google.com/file/d/1CxHINAnd0jSBd5QuU5_82_sKCJAVXu9r/view"/>
    <hyperlink ref="H120" r:id="rId116" display="https://drive.google.com/file/d/1CxHINAnd0jSBd5QuU5_82_sKCJAVXu9r/view"/>
    <hyperlink ref="H121" r:id="rId117" display="https://drive.google.com/file/d/1SwGuppOSsaAXO29onhyWUH40O1h_4XmG/view"/>
    <hyperlink ref="H122" r:id="rId118" display="https://drive.google.com/file/d/1SwGuppOSsaAXO29onhyWUH40O1h_4XmG/view"/>
    <hyperlink ref="H123" r:id="rId119" display="https://drive.google.com/file/d/1CxHINAnd0jSBd5QuU5_82_sKCJAVXu9r/view"/>
    <hyperlink ref="H124" r:id="rId120" display="https://drive.google.com/file/d/1CxHINAnd0jSBd5QuU5_82_sKCJAVXu9r/view"/>
    <hyperlink ref="H125" r:id="rId121" display="https://drive.google.com/file/d/1SwGuppOSsaAXO29onhyWUH40O1h_4XmG/view"/>
    <hyperlink ref="H126" r:id="rId122" display="https://drive.google.com/file/d/1CxHINAnd0jSBd5QuU5_82_sKCJAVXu9r/view"/>
    <hyperlink ref="H127" r:id="rId123" display="https://drive.google.com/file/d/1SwGuppOSsaAXO29onhyWUH40O1h_4XmG/view"/>
    <hyperlink ref="H128" r:id="rId124" display="https://drive.google.com/file/d/1CxHINAnd0jSBd5QuU5_82_sKCJAVXu9r/view"/>
    <hyperlink ref="H129" r:id="rId125" display="https://drive.google.com/file/d/1CxHINAnd0jSBd5QuU5_82_sKCJAVXu9r/view"/>
    <hyperlink ref="H130" r:id="rId126" display="https://drive.google.com/file/d/1SwGuppOSsaAXO29onhyWUH40O1h_4XmG/view"/>
    <hyperlink ref="H131" r:id="rId127" display="https://drive.google.com/file/d/1SwGuppOSsaAXO29onhyWUH40O1h_4XmG/view"/>
    <hyperlink ref="H132" r:id="rId128" display="https://drive.google.com/file/d/1CxHINAnd0jSBd5QuU5_82_sKCJAVXu9r/view"/>
    <hyperlink ref="H133" r:id="rId129" display="https://drive.google.com/file/d/1CxHINAnd0jSBd5QuU5_82_sKCJAVXu9r/view"/>
    <hyperlink ref="H134" r:id="rId130" display="https://drive.google.com/file/d/1CxHINAnd0jSBd5QuU5_82_sKCJAVXu9r/view"/>
    <hyperlink ref="H135" r:id="rId131" display="https://drive.google.com/file/d/1SwGuppOSsaAXO29onhyWUH40O1h_4XmG/view"/>
    <hyperlink ref="H136" r:id="rId132" display="https://drive.google.com/file/d/1CxHINAnd0jSBd5QuU5_82_sKCJAVXu9r/view"/>
    <hyperlink ref="H137" r:id="rId133" display="https://drive.google.com/file/d/1SwGuppOSsaAXO29onhyWUH40O1h_4XmG/view"/>
    <hyperlink ref="H138" r:id="rId134" display="https://drive.google.com/file/d/1CxHINAnd0jSBd5QuU5_82_sKCJAVXu9r/view"/>
    <hyperlink ref="H139" r:id="rId135" display="https://drive.google.com/file/d/1CxHINAnd0jSBd5QuU5_82_sKCJAVXu9r/view"/>
    <hyperlink ref="H140" r:id="rId136" display="https://drive.google.com/file/d/1CxHINAnd0jSBd5QuU5_82_sKCJAVXu9r/view"/>
    <hyperlink ref="H141" r:id="rId137" display="https://drive.google.com/file/d/1SwGuppOSsaAXO29onhyWUH40O1h_4XmG/view"/>
    <hyperlink ref="H142" r:id="rId138" display="https://drive.google.com/file/d/1SwGuppOSsaAXO29onhyWUH40O1h_4XmG/view"/>
    <hyperlink ref="H143" r:id="rId139" display="https://drive.google.com/file/d/1CxHINAnd0jSBd5QuU5_82_sKCJAVXu9r/view"/>
    <hyperlink ref="H144" r:id="rId140" display="https://drive.google.com/file/d/1SwGuppOSsaAXO29onhyWUH40O1h_4XmG/view"/>
    <hyperlink ref="H145" r:id="rId141" display="https://drive.google.com/file/d/1SwGuppOSsaAXO29onhyWUH40O1h_4XmG/view"/>
    <hyperlink ref="H146" r:id="rId142" display="https://drive.google.com/file/d/1CxHINAnd0jSBd5QuU5_82_sKCJAVXu9r/view"/>
    <hyperlink ref="H147" r:id="rId143" display="https://drive.google.com/file/d/1CxHINAnd0jSBd5QuU5_82_sKCJAVXu9r/view"/>
    <hyperlink ref="H148" r:id="rId144" display="https://drive.google.com/file/d/1CxHINAnd0jSBd5QuU5_82_sKCJAVXu9r/view"/>
    <hyperlink ref="H149" r:id="rId145" display="https://drive.google.com/file/d/1SwGuppOSsaAXO29onhyWUH40O1h_4XmG/view"/>
    <hyperlink ref="H150" r:id="rId146" display="https://drive.google.com/file/d/1CxHINAnd0jSBd5QuU5_82_sKCJAVXu9r/view"/>
    <hyperlink ref="H151" r:id="rId147" display="https://drive.google.com/file/d/1CxHINAnd0jSBd5QuU5_82_sKCJAVXu9r/view"/>
    <hyperlink ref="H152" r:id="rId148" display="https://drive.google.com/file/d/1SwGuppOSsaAXO29onhyWUH40O1h_4XmG/view"/>
    <hyperlink ref="H153" r:id="rId149" display="https://drive.google.com/file/d/1CxHINAnd0jSBd5QuU5_82_sKCJAVXu9r/view"/>
    <hyperlink ref="H154" r:id="rId150" display="https://drive.google.com/file/d/1CxHINAnd0jSBd5QuU5_82_sKCJAVXu9r/view"/>
    <hyperlink ref="H155" r:id="rId151" display="https://drive.google.com/file/d/1SwGuppOSsaAXO29onhyWUH40O1h_4XmG/view"/>
    <hyperlink ref="H156" r:id="rId152" display="https://drive.google.com/file/d/1CxHINAnd0jSBd5QuU5_82_sKCJAVXu9r/view"/>
    <hyperlink ref="H157" r:id="rId153" display="https://drive.google.com/file/d/1CxHINAnd0jSBd5QuU5_82_sKCJAVXu9r/view"/>
    <hyperlink ref="H158" r:id="rId154" display="https://drive.google.com/file/d/1SwGuppOSsaAXO29onhyWUH40O1h_4XmG/view"/>
    <hyperlink ref="H159" r:id="rId155" display="https://drive.google.com/file/d/1CxHINAnd0jSBd5QuU5_82_sKCJAVXu9r/view"/>
    <hyperlink ref="H160" r:id="rId156" display="https://drive.google.com/file/d/1CxHINAnd0jSBd5QuU5_82_sKCJAVXu9r/view"/>
    <hyperlink ref="H161" r:id="rId157" display="https://drive.google.com/file/d/1SwGuppOSsaAXO29onhyWUH40O1h_4XmG/view"/>
    <hyperlink ref="H162" r:id="rId158" display="https://drive.google.com/file/d/1CxHINAnd0jSBd5QuU5_82_sKCJAVXu9r/view"/>
    <hyperlink ref="H163" r:id="rId159" display="https://drive.google.com/file/d/1CxHINAnd0jSBd5QuU5_82_sKCJAVXu9r/view"/>
    <hyperlink ref="H164" r:id="rId160" display="https://drive.google.com/file/d/1SwGuppOSsaAXO29onhyWUH40O1h_4XmG/view"/>
    <hyperlink ref="H165" r:id="rId161" display="https://drive.google.com/file/d/1CxHINAnd0jSBd5QuU5_82_sKCJAVXu9r/view"/>
    <hyperlink ref="H166" r:id="rId162" display="https://drive.google.com/file/d/1SwGuppOSsaAXO29onhyWUH40O1h_4XmG/view"/>
    <hyperlink ref="H167" r:id="rId163" display="https://drive.google.com/file/d/1SwGuppOSsaAXO29onhyWUH40O1h_4XmG/view"/>
    <hyperlink ref="H168" r:id="rId164" display="https://drive.google.com/file/d/1SwGuppOSsaAXO29onhyWUH40O1h_4XmG/view"/>
    <hyperlink ref="H169" r:id="rId165" display="https://drive.google.com/file/d/1SwGuppOSsaAXO29onhyWUH40O1h_4XmG/view"/>
    <hyperlink ref="H170" r:id="rId166" display="https://drive.google.com/file/d/1CxHINAnd0jSBd5QuU5_82_sKCJAVXu9r/view"/>
    <hyperlink ref="H171" r:id="rId167" display="https://drive.google.com/file/d/1R3_p43lPLX9DZCkMme8r_K2Tc-CYtJ40/view"/>
    <hyperlink ref="H172" r:id="rId168" display="https://drive.google.com/file/d/1CxHINAnd0jSBd5QuU5_82_sKCJAVXu9r/view"/>
    <hyperlink ref="H173" r:id="rId169" display="https://drive.google.com/file/d/1SwGuppOSsaAXO29onhyWUH40O1h_4XmG/view"/>
    <hyperlink ref="H174" r:id="rId170" display="https://drive.google.com/file/d/1CxHINAnd0jSBd5QuU5_82_sKCJAVXu9r/view"/>
    <hyperlink ref="H175" r:id="rId171" display="https://drive.google.com/file/d/1SwGuppOSsaAXO29onhyWUH40O1h_4XmG/view"/>
    <hyperlink ref="H176" r:id="rId172" display="https://drive.google.com/file/d/1SwGuppOSsaAXO29onhyWUH40O1h_4XmG/view"/>
    <hyperlink ref="H177" r:id="rId173" display="https://drive.google.com/file/d/1CxHINAnd0jSBd5QuU5_82_sKCJAVXu9r/view"/>
    <hyperlink ref="H178" r:id="rId174" display="https://drive.google.com/file/d/1SwGuppOSsaAXO29onhyWUH40O1h_4XmG/view"/>
    <hyperlink ref="H179" r:id="rId175" display="https://drive.google.com/file/d/1SwGuppOSsaAXO29onhyWUH40O1h_4XmG/view"/>
    <hyperlink ref="H180" r:id="rId176" display="https://drive.google.com/file/d/1CxHINAnd0jSBd5QuU5_82_sKCJAVXu9r/view"/>
    <hyperlink ref="H181" r:id="rId177" display="https://drive.google.com/file/d/1SwGuppOSsaAXO29onhyWUH40O1h_4XmG/view"/>
    <hyperlink ref="H182" r:id="rId178" display="https://drive.google.com/file/d/1R3_p43lPLX9DZCkMme8r_K2Tc-CYtJ40/view"/>
    <hyperlink ref="H183" r:id="rId179" display="https://drive.google.com/file/d/1CxHINAnd0jSBd5QuU5_82_sKCJAVXu9r/view"/>
    <hyperlink ref="H184" r:id="rId180" display="https://drive.google.com/file/d/1SwGuppOSsaAXO29onhyWUH40O1h_4XmG/view"/>
    <hyperlink ref="H185" r:id="rId181" display="https://drive.google.com/file/d/1CxHINAnd0jSBd5QuU5_82_sKCJAVXu9r/view"/>
    <hyperlink ref="H186" r:id="rId182" display="https://drive.google.com/file/d/1SwGuppOSsaAXO29onhyWUH40O1h_4XmG/view"/>
    <hyperlink ref="H187" r:id="rId183" display="https://drive.google.com/file/d/1SwGuppOSsaAXO29onhyWUH40O1h_4XmG/view"/>
    <hyperlink ref="H188" r:id="rId184" display="https://drive.google.com/file/d/1CxHINAnd0jSBd5QuU5_82_sKCJAVXu9r/view"/>
    <hyperlink ref="H189" r:id="rId185" display="https://drive.google.com/file/d/1SwGuppOSsaAXO29onhyWUH40O1h_4XmG/view"/>
    <hyperlink ref="H190" r:id="rId186" display="https://drive.google.com/file/d/1CxHINAnd0jSBd5QuU5_82_sKCJAVXu9r/view"/>
    <hyperlink ref="H191" r:id="rId187" display="https://drive.google.com/file/d/1SwGuppOSsaAXO29onhyWUH40O1h_4XmG/view"/>
    <hyperlink ref="H192" r:id="rId188" display="https://drive.google.com/file/d/1CxHINAnd0jSBd5QuU5_82_sKCJAVXu9r/view"/>
    <hyperlink ref="H193" r:id="rId189" display="https://drive.google.com/file/d/1SwGuppOSsaAXO29onhyWUH40O1h_4XmG/view"/>
    <hyperlink ref="H194" r:id="rId190" display="https://drive.google.com/file/d/1CxHINAnd0jSBd5QuU5_82_sKCJAVXu9r/view"/>
    <hyperlink ref="H195" r:id="rId191" display="https://drive.google.com/file/d/1CxHINAnd0jSBd5QuU5_82_sKCJAVXu9r/view"/>
    <hyperlink ref="H196" r:id="rId192" display="https://drive.google.com/file/d/1SwGuppOSsaAXO29onhyWUH40O1h_4XmG/view"/>
    <hyperlink ref="H197" r:id="rId193" display="https://drive.google.com/file/d/1SwGuppOSsaAXO29onhyWUH40O1h_4XmG/view"/>
    <hyperlink ref="H198" r:id="rId194" display="https://drive.google.com/file/d/1SwGuppOSsaAXO29onhyWUH40O1h_4XmG/view"/>
    <hyperlink ref="H199" r:id="rId195" display="https://drive.google.com/file/d/1SwGuppOSsaAXO29onhyWUH40O1h_4XmG/view"/>
    <hyperlink ref="H200" r:id="rId196" display="https://drive.google.com/file/d/1SwGuppOSsaAXO29onhyWUH40O1h_4XmG/view"/>
    <hyperlink ref="H201" r:id="rId197" display="https://drive.google.com/file/d/1SwGuppOSsaAXO29onhyWUH40O1h_4XmG/view"/>
    <hyperlink ref="H202" r:id="rId198" display="https://drive.google.com/file/d/1SwGuppOSsaAXO29onhyWUH40O1h_4XmG/view"/>
    <hyperlink ref="H203" r:id="rId199" display="https://drive.google.com/file/d/1SwGuppOSsaAXO29onhyWUH40O1h_4XmG/view"/>
    <hyperlink ref="H204" r:id="rId200" display="https://drive.google.com/file/d/1SwGuppOSsaAXO29onhyWUH40O1h_4XmG/view"/>
    <hyperlink ref="H205" r:id="rId201" display="https://drive.google.com/file/d/1SwGuppOSsaAXO29onhyWUH40O1h_4XmG/view"/>
    <hyperlink ref="H206" r:id="rId202" display="https://drive.google.com/file/d/1SwGuppOSsaAXO29onhyWUH40O1h_4XmG/view"/>
    <hyperlink ref="H207" r:id="rId203" display="https://drive.google.com/file/d/1SwGuppOSsaAXO29onhyWUH40O1h_4XmG/view"/>
    <hyperlink ref="H208" r:id="rId204" display="https://drive.google.com/file/d/1SwGuppOSsaAXO29onhyWUH40O1h_4XmG/view"/>
    <hyperlink ref="H209" r:id="rId205" display="https://drive.google.com/file/d/1SwGuppOSsaAXO29onhyWUH40O1h_4XmG/view"/>
    <hyperlink ref="H210" r:id="rId206" display="https://drive.google.com/file/d/1SwGuppOSsaAXO29onhyWUH40O1h_4XmG/view"/>
    <hyperlink ref="H211" r:id="rId207" display="https://drive.google.com/file/d/1SwGuppOSsaAXO29onhyWUH40O1h_4XmG/view"/>
    <hyperlink ref="H212" r:id="rId208" display="https://drive.google.com/file/d/1SwGuppOSsaAXO29onhyWUH40O1h_4XmG/view"/>
    <hyperlink ref="H213" r:id="rId209" display="https://drive.google.com/file/d/1SwGuppOSsaAXO29onhyWUH40O1h_4XmG/view"/>
    <hyperlink ref="H214" r:id="rId210" display="https://drive.google.com/file/d/1SwGuppOSsaAXO29onhyWUH40O1h_4XmG/view"/>
    <hyperlink ref="H215" r:id="rId211" display="https://drive.google.com/file/d/1SwGuppOSsaAXO29onhyWUH40O1h_4XmG/view"/>
    <hyperlink ref="H216" r:id="rId212" display="https://drive.google.com/file/d/1SwGuppOSsaAXO29onhyWUH40O1h_4XmG/view"/>
    <hyperlink ref="H217" r:id="rId213" display="https://drive.google.com/file/d/1SwGuppOSsaAXO29onhyWUH40O1h_4XmG/view"/>
    <hyperlink ref="H218" r:id="rId214" display="https://drive.google.com/file/d/1SwGuppOSsaAXO29onhyWUH40O1h_4XmG/view"/>
    <hyperlink ref="H219" r:id="rId215" display="https://drive.google.com/file/d/1SwGuppOSsaAXO29onhyWUH40O1h_4XmG/view"/>
    <hyperlink ref="H220" r:id="rId216" display="https://drive.google.com/file/d/1SwGuppOSsaAXO29onhyWUH40O1h_4XmG/view"/>
    <hyperlink ref="H221" r:id="rId217" display="https://drive.google.com/file/d/1SwGuppOSsaAXO29onhyWUH40O1h_4XmG/view"/>
    <hyperlink ref="H222" r:id="rId218" display="https://drive.google.com/file/d/1SwGuppOSsaAXO29onhyWUH40O1h_4XmG/view"/>
    <hyperlink ref="H223" r:id="rId219" display="https://drive.google.com/file/d/1SwGuppOSsaAXO29onhyWUH40O1h_4XmG/view"/>
    <hyperlink ref="H224" r:id="rId220" display="https://drive.google.com/file/d/1SwGuppOSsaAXO29onhyWUH40O1h_4XmG/view"/>
    <hyperlink ref="H225" r:id="rId221" display="https://drive.google.com/file/d/1SwGuppOSsaAXO29onhyWUH40O1h_4XmG/view"/>
    <hyperlink ref="H226" r:id="rId222" display="https://drive.google.com/file/d/1SwGuppOSsaAXO29onhyWUH40O1h_4XmG/view"/>
    <hyperlink ref="H227" r:id="rId223" display="https://drive.google.com/file/d/1SwGuppOSsaAXO29onhyWUH40O1h_4XmG/view"/>
    <hyperlink ref="H228" r:id="rId224" display="https://drive.google.com/file/d/1SwGuppOSsaAXO29onhyWUH40O1h_4XmG/view"/>
    <hyperlink ref="H229" r:id="rId225" display="https://drive.google.com/file/d/1SwGuppOSsaAXO29onhyWUH40O1h_4XmG/view"/>
    <hyperlink ref="H230" r:id="rId226" display="https://drive.google.com/file/d/1SwGuppOSsaAXO29onhyWUH40O1h_4XmG/view"/>
    <hyperlink ref="H231" r:id="rId227" display="https://drive.google.com/file/d/1SwGuppOSsaAXO29onhyWUH40O1h_4XmG/view"/>
    <hyperlink ref="H232" r:id="rId228" display="https://drive.google.com/file/d/1SwGuppOSsaAXO29onhyWUH40O1h_4XmG/view"/>
    <hyperlink ref="H233" r:id="rId229" display="https://drive.google.com/file/d/1SwGuppOSsaAXO29onhyWUH40O1h_4XmG/view"/>
    <hyperlink ref="H234" r:id="rId230" display="https://drive.google.com/file/d/1SwGuppOSsaAXO29onhyWUH40O1h_4XmG/view"/>
    <hyperlink ref="H235" r:id="rId231" display="https://drive.google.com/file/d/1SwGuppOSsaAXO29onhyWUH40O1h_4XmG/view"/>
    <hyperlink ref="H236" r:id="rId232" display="https://drive.google.com/file/d/1SwGuppOSsaAXO29onhyWUH40O1h_4XmG/view"/>
    <hyperlink ref="H237" r:id="rId233" display="https://drive.google.com/file/d/1SwGuppOSsaAXO29onhyWUH40O1h_4XmG/view"/>
    <hyperlink ref="H238" r:id="rId234" display="https://drive.google.com/file/d/1SwGuppOSsaAXO29onhyWUH40O1h_4XmG/view"/>
    <hyperlink ref="H239" r:id="rId235" display="https://drive.google.com/file/d/1SwGuppOSsaAXO29onhyWUH40O1h_4XmG/view"/>
    <hyperlink ref="H240" r:id="rId236" display="https://drive.google.com/file/d/1SwGuppOSsaAXO29onhyWUH40O1h_4XmG/view"/>
    <hyperlink ref="H241" r:id="rId237" display="https://drive.google.com/file/d/1SwGuppOSsaAXO29onhyWUH40O1h_4XmG/view"/>
    <hyperlink ref="H242" r:id="rId238" display="https://drive.google.com/file/d/1SwGuppOSsaAXO29onhyWUH40O1h_4XmG/view"/>
    <hyperlink ref="H243" r:id="rId239" display="https://drive.google.com/file/d/1SwGuppOSsaAXO29onhyWUH40O1h_4XmG/view"/>
    <hyperlink ref="H244" r:id="rId240" display="https://drive.google.com/file/d/1SwGuppOSsaAXO29onhyWUH40O1h_4XmG/view"/>
    <hyperlink ref="H245" r:id="rId241" display="https://drive.google.com/file/d/1SwGuppOSsaAXO29onhyWUH40O1h_4XmG/view"/>
    <hyperlink ref="H246" r:id="rId242" display="https://drive.google.com/file/d/1SwGuppOSsaAXO29onhyWUH40O1h_4XmG/view"/>
    <hyperlink ref="H247" r:id="rId243" display="https://drive.google.com/file/d/1SwGuppOSsaAXO29onhyWUH40O1h_4XmG/view"/>
    <hyperlink ref="H248" r:id="rId244" display="https://drive.google.com/file/d/1SwGuppOSsaAXO29onhyWUH40O1h_4XmG/view"/>
    <hyperlink ref="H249" r:id="rId245" display="https://drive.google.com/file/d/1SwGuppOSsaAXO29onhyWUH40O1h_4XmG/view"/>
    <hyperlink ref="H250" r:id="rId246" display="https://drive.google.com/file/d/1SwGuppOSsaAXO29onhyWUH40O1h_4XmG/view"/>
    <hyperlink ref="H251" r:id="rId247" display="https://drive.google.com/file/d/1SwGuppOSsaAXO29onhyWUH40O1h_4XmG/view"/>
    <hyperlink ref="H252" r:id="rId248" display="https://drive.google.com/file/d/1SwGuppOSsaAXO29onhyWUH40O1h_4XmG/view"/>
    <hyperlink ref="H253" r:id="rId249" display="https://drive.google.com/file/d/1SwGuppOSsaAXO29onhyWUH40O1h_4XmG/view"/>
    <hyperlink ref="H254" r:id="rId250" display="https://drive.google.com/file/d/1SwGuppOSsaAXO29onhyWUH40O1h_4XmG/view"/>
    <hyperlink ref="H255" r:id="rId251" display="https://drive.google.com/file/d/1SwGuppOSsaAXO29onhyWUH40O1h_4XmG/view"/>
    <hyperlink ref="H256" r:id="rId252" display="https://drive.google.com/file/d/1SwGuppOSsaAXO29onhyWUH40O1h_4XmG/view"/>
    <hyperlink ref="H257" r:id="rId253" display="https://drive.google.com/file/d/1SwGuppOSsaAXO29onhyWUH40O1h_4XmG/view"/>
    <hyperlink ref="H258" r:id="rId254" display="https://drive.google.com/file/d/1SwGuppOSsaAXO29onhyWUH40O1h_4XmG/view"/>
    <hyperlink ref="H259" r:id="rId255" display="https://drive.google.com/file/d/1SwGuppOSsaAXO29onhyWUH40O1h_4XmG/view"/>
    <hyperlink ref="H260" r:id="rId256" display="https://drive.google.com/file/d/1SwGuppOSsaAXO29onhyWUH40O1h_4XmG/view"/>
    <hyperlink ref="H261" r:id="rId257" display="https://drive.google.com/file/d/1SwGuppOSsaAXO29onhyWUH40O1h_4XmG/view"/>
    <hyperlink ref="H262" r:id="rId258" display="https://drive.google.com/file/d/1SwGuppOSsaAXO29onhyWUH40O1h_4XmG/view"/>
    <hyperlink ref="H263" r:id="rId259" display="https://drive.google.com/file/d/1SwGuppOSsaAXO29onhyWUH40O1h_4XmG/view"/>
    <hyperlink ref="H264" r:id="rId260" display="https://drive.google.com/file/d/1SwGuppOSsaAXO29onhyWUH40O1h_4XmG/view"/>
    <hyperlink ref="H265" r:id="rId261" display="https://drive.google.com/file/d/1SwGuppOSsaAXO29onhyWUH40O1h_4XmG/view"/>
    <hyperlink ref="H266" r:id="rId262" display="https://drive.google.com/file/d/1SwGuppOSsaAXO29onhyWUH40O1h_4XmG/view"/>
    <hyperlink ref="H267" r:id="rId263" display="https://drive.google.com/file/d/1SwGuppOSsaAXO29onhyWUH40O1h_4XmG/view"/>
    <hyperlink ref="H268" r:id="rId264" display="https://drive.google.com/file/d/1SwGuppOSsaAXO29onhyWUH40O1h_4XmG/view"/>
    <hyperlink ref="H269" r:id="rId265" display="https://drive.google.com/file/d/1SwGuppOSsaAXO29onhyWUH40O1h_4XmG/view"/>
    <hyperlink ref="H270" r:id="rId266" display="https://drive.google.com/file/d/1SwGuppOSsaAXO29onhyWUH40O1h_4XmG/view"/>
    <hyperlink ref="H271" r:id="rId267" display="https://drive.google.com/file/d/1SwGuppOSsaAXO29onhyWUH40O1h_4XmG/view"/>
    <hyperlink ref="H272" r:id="rId268" display="https://drive.google.com/file/d/1SwGuppOSsaAXO29onhyWUH40O1h_4XmG/view"/>
    <hyperlink ref="H273" r:id="rId269" display="https://drive.google.com/file/d/1SwGuppOSsaAXO29onhyWUH40O1h_4XmG/view"/>
    <hyperlink ref="H274" r:id="rId270" display="https://drive.google.com/file/d/1SwGuppOSsaAXO29onhyWUH40O1h_4XmG/view"/>
    <hyperlink ref="H275" r:id="rId271" display="https://drive.google.com/file/d/1SwGuppOSsaAXO29onhyWUH40O1h_4XmG/view"/>
    <hyperlink ref="H276" r:id="rId272" display="https://drive.google.com/file/d/1SwGuppOSsaAXO29onhyWUH40O1h_4XmG/view"/>
    <hyperlink ref="H277" r:id="rId273" display="https://drive.google.com/file/d/1SwGuppOSsaAXO29onhyWUH40O1h_4XmG/view"/>
    <hyperlink ref="H278" r:id="rId274" display="https://drive.google.com/file/d/1SwGuppOSsaAXO29onhyWUH40O1h_4XmG/view"/>
    <hyperlink ref="H279" r:id="rId275" display="https://drive.google.com/file/d/1SwGuppOSsaAXO29onhyWUH40O1h_4XmG/view"/>
    <hyperlink ref="H280" r:id="rId276" display="https://drive.google.com/file/d/1SwGuppOSsaAXO29onhyWUH40O1h_4XmG/view"/>
    <hyperlink ref="H281" r:id="rId277" display="https://drive.google.com/file/d/1SwGuppOSsaAXO29onhyWUH40O1h_4XmG/view"/>
    <hyperlink ref="H282" r:id="rId278" display="https://drive.google.com/file/d/1SwGuppOSsaAXO29onhyWUH40O1h_4XmG/view"/>
    <hyperlink ref="H283" r:id="rId279" display="https://drive.google.com/file/d/1SwGuppOSsaAXO29onhyWUH40O1h_4XmG/view"/>
    <hyperlink ref="H284" r:id="rId280" display="https://drive.google.com/file/d/1SwGuppOSsaAXO29onhyWUH40O1h_4XmG/view"/>
    <hyperlink ref="H285" r:id="rId281" display="https://drive.google.com/file/d/1SwGuppOSsaAXO29onhyWUH40O1h_4XmG/view"/>
    <hyperlink ref="H286" r:id="rId282" display="https://drive.google.com/file/d/1SwGuppOSsaAXO29onhyWUH40O1h_4XmG/view"/>
    <hyperlink ref="H287" r:id="rId283" display="https://drive.google.com/file/d/1SwGuppOSsaAXO29onhyWUH40O1h_4XmG/view"/>
    <hyperlink ref="H288" r:id="rId284" display="https://drive.google.com/file/d/1SwGuppOSsaAXO29onhyWUH40O1h_4XmG/view"/>
    <hyperlink ref="H289" r:id="rId285" display="https://drive.google.com/file/d/1SwGuppOSsaAXO29onhyWUH40O1h_4XmG/view"/>
    <hyperlink ref="H290" r:id="rId286" display="https://drive.google.com/file/d/1SwGuppOSsaAXO29onhyWUH40O1h_4XmG/view"/>
    <hyperlink ref="H291" r:id="rId287" display="https://drive.google.com/file/d/1SwGuppOSsaAXO29onhyWUH40O1h_4XmG/view"/>
    <hyperlink ref="H292" r:id="rId288" display="https://drive.google.com/file/d/1SwGuppOSsaAXO29onhyWUH40O1h_4XmG/view"/>
    <hyperlink ref="H293" r:id="rId289" display="https://drive.google.com/file/d/1SwGuppOSsaAXO29onhyWUH40O1h_4XmG/view"/>
    <hyperlink ref="H294" r:id="rId290" display="https://drive.google.com/file/d/1SwGuppOSsaAXO29onhyWUH40O1h_4XmG/view"/>
    <hyperlink ref="H295" r:id="rId291" display="https://drive.google.com/file/d/1SwGuppOSsaAXO29onhyWUH40O1h_4XmG/view"/>
    <hyperlink ref="H296" r:id="rId292" display="https://drive.google.com/file/d/1SwGuppOSsaAXO29onhyWUH40O1h_4XmG/view"/>
    <hyperlink ref="H297" r:id="rId293" display="https://drive.google.com/file/d/1SwGuppOSsaAXO29onhyWUH40O1h_4XmG/view"/>
    <hyperlink ref="H298" r:id="rId294" display="https://drive.google.com/file/d/1SwGuppOSsaAXO29onhyWUH40O1h_4XmG/view"/>
    <hyperlink ref="H299" r:id="rId295" display="https://drive.google.com/file/d/1SwGuppOSsaAXO29onhyWUH40O1h_4XmG/view"/>
    <hyperlink ref="H300" r:id="rId296" display="https://drive.google.com/file/d/1SwGuppOSsaAXO29onhyWUH40O1h_4XmG/view"/>
    <hyperlink ref="H301" r:id="rId297" display="https://drive.google.com/file/d/1SwGuppOSsaAXO29onhyWUH40O1h_4XmG/view"/>
    <hyperlink ref="H302" r:id="rId298" display="https://drive.google.com/file/d/1SwGuppOSsaAXO29onhyWUH40O1h_4XmG/view"/>
    <hyperlink ref="H303" r:id="rId299" display="https://drive.google.com/file/d/1SwGuppOSsaAXO29onhyWUH40O1h_4XmG/view"/>
    <hyperlink ref="H304" r:id="rId300" display="https://drive.google.com/file/d/1SwGuppOSsaAXO29onhyWUH40O1h_4XmG/view"/>
    <hyperlink ref="H305" r:id="rId301" display="https://drive.google.com/file/d/1SwGuppOSsaAXO29onhyWUH40O1h_4XmG/view"/>
    <hyperlink ref="H306" r:id="rId302" display="https://drive.google.com/file/d/1SwGuppOSsaAXO29onhyWUH40O1h_4XmG/view"/>
    <hyperlink ref="H307" r:id="rId303" display="https://drive.google.com/file/d/1SwGuppOSsaAXO29onhyWUH40O1h_4XmG/view"/>
    <hyperlink ref="H308" r:id="rId304" display="https://drive.google.com/file/d/1SwGuppOSsaAXO29onhyWUH40O1h_4XmG/view"/>
    <hyperlink ref="H309" r:id="rId305" display="https://drive.google.com/file/d/1SwGuppOSsaAXO29onhyWUH40O1h_4XmG/view"/>
    <hyperlink ref="H310" r:id="rId306" display="https://drive.google.com/file/d/1SwGuppOSsaAXO29onhyWUH40O1h_4XmG/view"/>
    <hyperlink ref="H311" r:id="rId307" display="https://drive.google.com/file/d/1SwGuppOSsaAXO29onhyWUH40O1h_4XmG/view"/>
    <hyperlink ref="H312" r:id="rId308" display="https://drive.google.com/file/d/1SwGuppOSsaAXO29onhyWUH40O1h_4XmG/view"/>
    <hyperlink ref="H313" r:id="rId309" display="https://drive.google.com/file/d/1SwGuppOSsaAXO29onhyWUH40O1h_4XmG/view"/>
    <hyperlink ref="H314" r:id="rId310" display="https://drive.google.com/file/d/1SwGuppOSsaAXO29onhyWUH40O1h_4XmG/view"/>
    <hyperlink ref="H315" r:id="rId311" display="https://drive.google.com/file/d/1SwGuppOSsaAXO29onhyWUH40O1h_4XmG/view"/>
    <hyperlink ref="H316" r:id="rId312" display="https://drive.google.com/file/d/1SwGuppOSsaAXO29onhyWUH40O1h_4XmG/view"/>
    <hyperlink ref="H317" r:id="rId313" display="https://drive.google.com/file/d/1SwGuppOSsaAXO29onhyWUH40O1h_4XmG/vie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22"/>
    <col collapsed="false" customWidth="true" hidden="false" outlineLevel="0" max="4" min="4" style="0" width="13"/>
    <col collapsed="false" customWidth="true" hidden="false" outlineLevel="0" max="5" min="5" style="0" width="36"/>
    <col collapsed="false" customWidth="true" hidden="false" outlineLevel="0" max="8" min="6" style="0" width="13"/>
    <col collapsed="false" customWidth="true" hidden="false" outlineLevel="0" max="9" min="9" style="0" width="40"/>
    <col collapsed="false" customWidth="true" hidden="false" outlineLevel="0" max="12" min="10" style="0" width="13"/>
    <col collapsed="false" customWidth="true" hidden="false" outlineLevel="0" max="13" min="13" style="0" width="46"/>
    <col collapsed="false" customWidth="true" hidden="false" outlineLevel="0" max="14" min="14" style="0" width="34"/>
    <col collapsed="false" customWidth="true" hidden="false" outlineLevel="0" max="15" min="15" style="0" width="45"/>
  </cols>
  <sheetData>
    <row r="1" customFormat="false" ht="16.15" hidden="false" customHeight="false" outlineLevel="0" collapsed="false">
      <c r="A1" s="1" t="s">
        <v>1797</v>
      </c>
    </row>
    <row r="2" customFormat="false" ht="30" hidden="false" customHeight="true" outlineLevel="0" collapsed="false">
      <c r="A2" s="22" t="s">
        <v>1798</v>
      </c>
      <c r="B2" s="22"/>
      <c r="C2" s="22"/>
      <c r="D2" s="22"/>
      <c r="E2" s="22"/>
      <c r="F2" s="22"/>
      <c r="G2" s="22"/>
      <c r="H2" s="22"/>
      <c r="I2" s="22"/>
      <c r="J2" s="22"/>
      <c r="K2" s="22"/>
      <c r="L2" s="22"/>
      <c r="M2" s="22"/>
    </row>
    <row r="4" customFormat="false" ht="23.85" hidden="false" customHeight="false" outlineLevel="0" collapsed="false">
      <c r="A4" s="3" t="s">
        <v>1799</v>
      </c>
      <c r="B4" s="3" t="s">
        <v>1800</v>
      </c>
      <c r="C4" s="3" t="s">
        <v>1801</v>
      </c>
      <c r="D4" s="3" t="s">
        <v>1802</v>
      </c>
      <c r="E4" s="3" t="s">
        <v>1803</v>
      </c>
      <c r="F4" s="3" t="s">
        <v>1804</v>
      </c>
      <c r="G4" s="3" t="s">
        <v>1805</v>
      </c>
      <c r="H4" s="3" t="s">
        <v>1806</v>
      </c>
      <c r="I4" s="3" t="s">
        <v>1807</v>
      </c>
      <c r="J4" s="3" t="s">
        <v>1808</v>
      </c>
      <c r="K4" s="3" t="s">
        <v>1809</v>
      </c>
      <c r="L4" s="3" t="s">
        <v>1810</v>
      </c>
      <c r="M4" s="3" t="s">
        <v>1811</v>
      </c>
      <c r="N4" s="3" t="s">
        <v>1812</v>
      </c>
      <c r="O4" s="3" t="s">
        <v>673</v>
      </c>
    </row>
    <row r="5" customFormat="false" ht="15" hidden="false" customHeight="false" outlineLevel="0" collapsed="false">
      <c r="A5" s="4" t="s">
        <v>11</v>
      </c>
      <c r="B5" s="4"/>
      <c r="C5" s="4"/>
      <c r="D5" s="4"/>
      <c r="E5" s="4"/>
      <c r="F5" s="4"/>
      <c r="G5" s="4"/>
      <c r="H5" s="4"/>
      <c r="I5" s="4"/>
      <c r="J5" s="4"/>
      <c r="K5" s="4"/>
      <c r="L5" s="4"/>
      <c r="M5" s="4"/>
    </row>
    <row r="6" customFormat="false" ht="35.05" hidden="false" customHeight="false" outlineLevel="0" collapsed="false">
      <c r="A6" s="5" t="s">
        <v>1813</v>
      </c>
      <c r="B6" s="5" t="s">
        <v>1814</v>
      </c>
      <c r="C6" s="5" t="s">
        <v>1815</v>
      </c>
      <c r="D6" s="16" t="n">
        <v>90</v>
      </c>
      <c r="E6" s="5" t="s">
        <v>1223</v>
      </c>
      <c r="F6" s="16" t="n">
        <v>0</v>
      </c>
      <c r="G6" s="16" t="n">
        <v>0</v>
      </c>
      <c r="H6" s="16" t="n">
        <v>0</v>
      </c>
      <c r="I6" s="5" t="s">
        <v>1816</v>
      </c>
      <c r="J6" s="6" t="n">
        <v>0</v>
      </c>
      <c r="K6" s="16" t="n">
        <v>0</v>
      </c>
      <c r="L6" s="6" t="n">
        <f aca="false">K6*1</f>
        <v>0</v>
      </c>
      <c r="M6" s="5"/>
      <c r="N6" s="5" t="s">
        <v>1817</v>
      </c>
      <c r="O6" s="17" t="s">
        <v>116</v>
      </c>
    </row>
    <row r="7" customFormat="false" ht="35.05" hidden="false" customHeight="false" outlineLevel="0" collapsed="false">
      <c r="A7" s="5" t="s">
        <v>1818</v>
      </c>
      <c r="B7" s="5" t="s">
        <v>1819</v>
      </c>
      <c r="C7" s="5" t="s">
        <v>1820</v>
      </c>
      <c r="D7" s="16" t="n">
        <v>1505</v>
      </c>
      <c r="E7" s="5" t="s">
        <v>1821</v>
      </c>
      <c r="F7" s="16" t="n">
        <v>15</v>
      </c>
      <c r="G7" s="16" t="n">
        <v>3</v>
      </c>
      <c r="H7" s="16" t="n">
        <v>1</v>
      </c>
      <c r="I7" s="5" t="s">
        <v>1822</v>
      </c>
      <c r="J7" s="6" t="n">
        <v>5.32</v>
      </c>
      <c r="K7" s="16" t="n">
        <v>1</v>
      </c>
      <c r="L7" s="6" t="n">
        <f aca="false">G7*1.44+IF(K7&gt;0,1,0)</f>
        <v>5.32</v>
      </c>
      <c r="M7" s="5"/>
      <c r="N7" s="5" t="s">
        <v>1823</v>
      </c>
      <c r="O7" s="17" t="s">
        <v>116</v>
      </c>
    </row>
    <row r="8" customFormat="false" ht="23.85" hidden="false" customHeight="false" outlineLevel="0" collapsed="false">
      <c r="A8" s="5" t="s">
        <v>1824</v>
      </c>
      <c r="B8" s="5" t="s">
        <v>1825</v>
      </c>
      <c r="C8" s="5" t="s">
        <v>1826</v>
      </c>
      <c r="D8" s="16" t="n">
        <v>607</v>
      </c>
      <c r="E8" s="5" t="s">
        <v>1827</v>
      </c>
      <c r="F8" s="16" t="n">
        <v>20</v>
      </c>
      <c r="G8" s="16" t="n">
        <v>7</v>
      </c>
      <c r="H8" s="16" t="n">
        <v>1</v>
      </c>
      <c r="I8" s="5" t="s">
        <v>1822</v>
      </c>
      <c r="J8" s="6" t="n">
        <v>11.08</v>
      </c>
      <c r="K8" s="16" t="n">
        <v>1</v>
      </c>
      <c r="L8" s="6" t="n">
        <f aca="false">G8*1.44+IF(K8&gt;0,1,0)</f>
        <v>11.08</v>
      </c>
      <c r="M8" s="5"/>
      <c r="N8" s="5" t="s">
        <v>1828</v>
      </c>
      <c r="O8" s="17" t="s">
        <v>116</v>
      </c>
    </row>
    <row r="9" customFormat="false" ht="23.85" hidden="false" customHeight="false" outlineLevel="0" collapsed="false">
      <c r="A9" s="5" t="s">
        <v>1829</v>
      </c>
      <c r="B9" s="5" t="s">
        <v>1830</v>
      </c>
      <c r="C9" s="5" t="s">
        <v>1831</v>
      </c>
      <c r="D9" s="16" t="n">
        <v>405</v>
      </c>
      <c r="E9" s="5" t="s">
        <v>1827</v>
      </c>
      <c r="F9" s="16" t="n">
        <v>10</v>
      </c>
      <c r="G9" s="16" t="n">
        <v>4</v>
      </c>
      <c r="H9" s="16" t="n">
        <v>2</v>
      </c>
      <c r="I9" s="5" t="s">
        <v>1832</v>
      </c>
      <c r="J9" s="6" t="n">
        <v>6.76</v>
      </c>
      <c r="K9" s="23" t="n">
        <v>1</v>
      </c>
      <c r="L9" s="6" t="n">
        <f aca="false">G9*1.44+IF(K9&gt;0,1,0)</f>
        <v>6.76</v>
      </c>
      <c r="M9" s="18" t="s">
        <v>1833</v>
      </c>
      <c r="N9" s="5" t="s">
        <v>1834</v>
      </c>
      <c r="O9" s="17" t="s">
        <v>116</v>
      </c>
    </row>
    <row r="10" customFormat="false" ht="23.85" hidden="false" customHeight="false" outlineLevel="0" collapsed="false">
      <c r="A10" s="5" t="s">
        <v>1835</v>
      </c>
      <c r="B10" s="5" t="s">
        <v>1836</v>
      </c>
      <c r="C10" s="5" t="s">
        <v>1837</v>
      </c>
      <c r="D10" s="16" t="n">
        <v>6609</v>
      </c>
      <c r="E10" s="5" t="s">
        <v>1838</v>
      </c>
      <c r="F10" s="16" t="n">
        <v>65</v>
      </c>
      <c r="G10" s="16" t="n">
        <v>2</v>
      </c>
      <c r="H10" s="16" t="n">
        <v>1</v>
      </c>
      <c r="I10" s="5" t="s">
        <v>1822</v>
      </c>
      <c r="J10" s="6" t="n">
        <v>11.38</v>
      </c>
      <c r="K10" s="16" t="n">
        <v>1</v>
      </c>
      <c r="L10" s="6" t="n">
        <f aca="false">J10</f>
        <v>11.38</v>
      </c>
      <c r="M10" s="5"/>
      <c r="N10" s="5" t="s">
        <v>1839</v>
      </c>
      <c r="O10" s="17" t="s">
        <v>116</v>
      </c>
    </row>
    <row r="11" customFormat="false" ht="23.85" hidden="false" customHeight="false" outlineLevel="0" collapsed="false">
      <c r="A11" s="5" t="s">
        <v>1840</v>
      </c>
      <c r="B11" s="5" t="s">
        <v>1841</v>
      </c>
      <c r="C11" s="5" t="s">
        <v>1842</v>
      </c>
      <c r="D11" s="16" t="n">
        <v>6765</v>
      </c>
      <c r="E11" s="5" t="s">
        <v>1838</v>
      </c>
      <c r="F11" s="16" t="n">
        <v>80</v>
      </c>
      <c r="G11" s="16" t="n">
        <v>2</v>
      </c>
      <c r="H11" s="16" t="n">
        <v>1</v>
      </c>
      <c r="I11" s="5" t="s">
        <v>1822</v>
      </c>
      <c r="J11" s="6" t="n">
        <v>12.31</v>
      </c>
      <c r="K11" s="16" t="n">
        <v>1</v>
      </c>
      <c r="L11" s="6" t="n">
        <f aca="false">J11</f>
        <v>12.31</v>
      </c>
      <c r="M11" s="5"/>
      <c r="N11" s="5" t="s">
        <v>1843</v>
      </c>
      <c r="O11" s="17" t="s">
        <v>116</v>
      </c>
    </row>
    <row r="12" customFormat="false" ht="23.85" hidden="false" customHeight="false" outlineLevel="0" collapsed="false">
      <c r="A12" s="5" t="s">
        <v>1844</v>
      </c>
      <c r="B12" s="5" t="s">
        <v>1845</v>
      </c>
      <c r="C12" s="5" t="s">
        <v>1846</v>
      </c>
      <c r="D12" s="16" t="n">
        <v>201</v>
      </c>
      <c r="E12" s="5" t="s">
        <v>1847</v>
      </c>
      <c r="F12" s="16" t="n">
        <v>0</v>
      </c>
      <c r="G12" s="16" t="n">
        <v>0</v>
      </c>
      <c r="H12" s="16" t="n">
        <v>0</v>
      </c>
      <c r="I12" s="5" t="s">
        <v>1816</v>
      </c>
      <c r="J12" s="6" t="n">
        <v>0</v>
      </c>
      <c r="K12" s="16" t="n">
        <v>0</v>
      </c>
      <c r="L12" s="6" t="n">
        <f aca="false">K12*1</f>
        <v>0</v>
      </c>
      <c r="M12" s="5"/>
      <c r="N12" s="5" t="s">
        <v>1848</v>
      </c>
      <c r="O12" s="17" t="s">
        <v>116</v>
      </c>
    </row>
    <row r="13" customFormat="false" ht="23.85" hidden="false" customHeight="false" outlineLevel="0" collapsed="false">
      <c r="A13" s="5" t="s">
        <v>1849</v>
      </c>
      <c r="B13" s="5" t="s">
        <v>1850</v>
      </c>
      <c r="C13" s="5" t="s">
        <v>1851</v>
      </c>
      <c r="D13" s="16" t="n">
        <v>407</v>
      </c>
      <c r="E13" s="5" t="s">
        <v>1852</v>
      </c>
      <c r="F13" s="16" t="n">
        <v>9</v>
      </c>
      <c r="G13" s="16" t="n">
        <v>1</v>
      </c>
      <c r="H13" s="16" t="n">
        <v>1</v>
      </c>
      <c r="I13" s="5" t="s">
        <v>1822</v>
      </c>
      <c r="J13" s="6" t="n">
        <v>2.44</v>
      </c>
      <c r="K13" s="16" t="n">
        <v>1</v>
      </c>
      <c r="L13" s="6" t="n">
        <f aca="false">G13*1.44+IF(K13&gt;0,1,0)</f>
        <v>2.44</v>
      </c>
      <c r="M13" s="5"/>
      <c r="N13" s="5" t="s">
        <v>1853</v>
      </c>
      <c r="O13" s="17" t="s">
        <v>116</v>
      </c>
    </row>
    <row r="14" customFormat="false" ht="23.85" hidden="false" customHeight="false" outlineLevel="0" collapsed="false">
      <c r="A14" s="5" t="s">
        <v>1854</v>
      </c>
      <c r="B14" s="5" t="s">
        <v>1855</v>
      </c>
      <c r="C14" s="5" t="s">
        <v>1856</v>
      </c>
      <c r="D14" s="16" t="n">
        <v>315</v>
      </c>
      <c r="E14" s="5" t="s">
        <v>1857</v>
      </c>
      <c r="F14" s="16" t="n">
        <v>3</v>
      </c>
      <c r="G14" s="16" t="n">
        <v>0</v>
      </c>
      <c r="H14" s="16" t="n">
        <v>2</v>
      </c>
      <c r="I14" s="5" t="s">
        <v>1858</v>
      </c>
      <c r="J14" s="6" t="n">
        <v>2</v>
      </c>
      <c r="K14" s="23" t="n">
        <v>1</v>
      </c>
      <c r="L14" s="6" t="n">
        <f aca="false">K14*1</f>
        <v>1</v>
      </c>
      <c r="M14" s="18" t="s">
        <v>1859</v>
      </c>
      <c r="N14" s="5" t="s">
        <v>1860</v>
      </c>
      <c r="O14" s="17" t="s">
        <v>116</v>
      </c>
    </row>
    <row r="15" customFormat="false" ht="23.85" hidden="false" customHeight="false" outlineLevel="0" collapsed="false">
      <c r="A15" s="5" t="s">
        <v>1861</v>
      </c>
      <c r="B15" s="5" t="s">
        <v>1862</v>
      </c>
      <c r="C15" s="5" t="s">
        <v>1851</v>
      </c>
      <c r="D15" s="16" t="n">
        <v>691</v>
      </c>
      <c r="E15" s="5" t="s">
        <v>1827</v>
      </c>
      <c r="F15" s="16" t="n">
        <v>21</v>
      </c>
      <c r="G15" s="16" t="n">
        <v>7</v>
      </c>
      <c r="H15" s="16" t="n">
        <v>1</v>
      </c>
      <c r="I15" s="5" t="s">
        <v>1822</v>
      </c>
      <c r="J15" s="6" t="n">
        <v>11.08</v>
      </c>
      <c r="K15" s="16" t="n">
        <v>1</v>
      </c>
      <c r="L15" s="6" t="n">
        <f aca="false">G15*1.44+IF(K15&gt;0,1,0)</f>
        <v>11.08</v>
      </c>
      <c r="M15" s="5"/>
      <c r="N15" s="5" t="s">
        <v>1863</v>
      </c>
      <c r="O15" s="17" t="s">
        <v>116</v>
      </c>
    </row>
    <row r="16" customFormat="false" ht="23.85" hidden="false" customHeight="false" outlineLevel="0" collapsed="false">
      <c r="A16" s="5" t="s">
        <v>1864</v>
      </c>
      <c r="B16" s="5" t="s">
        <v>1865</v>
      </c>
      <c r="C16" s="5" t="s">
        <v>1866</v>
      </c>
      <c r="D16" s="16" t="n">
        <v>371</v>
      </c>
      <c r="E16" s="5" t="s">
        <v>1857</v>
      </c>
      <c r="F16" s="16" t="n">
        <v>11</v>
      </c>
      <c r="G16" s="16" t="n">
        <v>0</v>
      </c>
      <c r="H16" s="16" t="n">
        <v>5</v>
      </c>
      <c r="I16" s="5" t="s">
        <v>1867</v>
      </c>
      <c r="J16" s="6" t="n">
        <v>5</v>
      </c>
      <c r="K16" s="16" t="n">
        <v>5</v>
      </c>
      <c r="L16" s="6" t="n">
        <f aca="false">K16*1</f>
        <v>5</v>
      </c>
      <c r="M16" s="5" t="s">
        <v>1868</v>
      </c>
      <c r="N16" s="5" t="s">
        <v>1869</v>
      </c>
      <c r="O16" s="17" t="s">
        <v>116</v>
      </c>
    </row>
    <row r="17" customFormat="false" ht="23.85" hidden="false" customHeight="false" outlineLevel="0" collapsed="false">
      <c r="A17" s="5" t="s">
        <v>1870</v>
      </c>
      <c r="B17" s="5" t="s">
        <v>1871</v>
      </c>
      <c r="C17" s="5" t="s">
        <v>1872</v>
      </c>
      <c r="D17" s="16" t="n">
        <v>346</v>
      </c>
      <c r="E17" s="5" t="s">
        <v>1857</v>
      </c>
      <c r="F17" s="16" t="n">
        <v>5</v>
      </c>
      <c r="G17" s="16" t="n">
        <v>0</v>
      </c>
      <c r="H17" s="16" t="n">
        <v>3</v>
      </c>
      <c r="I17" s="5" t="s">
        <v>1873</v>
      </c>
      <c r="J17" s="6" t="n">
        <v>3</v>
      </c>
      <c r="K17" s="16" t="n">
        <v>3</v>
      </c>
      <c r="L17" s="6" t="n">
        <f aca="false">K17*1</f>
        <v>3</v>
      </c>
      <c r="M17" s="5" t="s">
        <v>1868</v>
      </c>
      <c r="N17" s="5" t="s">
        <v>1874</v>
      </c>
      <c r="O17" s="17" t="s">
        <v>116</v>
      </c>
    </row>
    <row r="18" customFormat="false" ht="23.85" hidden="false" customHeight="false" outlineLevel="0" collapsed="false">
      <c r="A18" s="5" t="s">
        <v>1875</v>
      </c>
      <c r="B18" s="5" t="s">
        <v>1876</v>
      </c>
      <c r="C18" s="5" t="s">
        <v>1877</v>
      </c>
      <c r="D18" s="16" t="n">
        <v>336</v>
      </c>
      <c r="E18" s="5" t="s">
        <v>1857</v>
      </c>
      <c r="F18" s="16" t="n">
        <v>6</v>
      </c>
      <c r="G18" s="16" t="n">
        <v>0</v>
      </c>
      <c r="H18" s="16" t="n">
        <v>3</v>
      </c>
      <c r="I18" s="5" t="s">
        <v>1878</v>
      </c>
      <c r="J18" s="6" t="n">
        <v>3</v>
      </c>
      <c r="K18" s="16" t="n">
        <v>3</v>
      </c>
      <c r="L18" s="6" t="n">
        <f aca="false">K18*1</f>
        <v>3</v>
      </c>
      <c r="M18" s="5" t="s">
        <v>1868</v>
      </c>
      <c r="N18" s="5" t="s">
        <v>1879</v>
      </c>
      <c r="O18" s="17" t="s">
        <v>116</v>
      </c>
    </row>
    <row r="19" customFormat="false" ht="15" hidden="false" customHeight="false" outlineLevel="0" collapsed="false">
      <c r="A19" s="5" t="s">
        <v>1880</v>
      </c>
      <c r="B19" s="5" t="s">
        <v>1881</v>
      </c>
      <c r="C19" s="5" t="s">
        <v>1882</v>
      </c>
      <c r="D19" s="16" t="n">
        <v>488</v>
      </c>
      <c r="E19" s="5" t="s">
        <v>1827</v>
      </c>
      <c r="F19" s="16" t="n">
        <v>7</v>
      </c>
      <c r="G19" s="16" t="n">
        <v>2</v>
      </c>
      <c r="H19" s="16" t="n">
        <v>1</v>
      </c>
      <c r="I19" s="5" t="s">
        <v>1822</v>
      </c>
      <c r="J19" s="6" t="n">
        <v>3.88</v>
      </c>
      <c r="K19" s="16" t="n">
        <v>1</v>
      </c>
      <c r="L19" s="6" t="n">
        <f aca="false">G19*1.44+IF(K19&gt;0,1,0)</f>
        <v>3.88</v>
      </c>
      <c r="M19" s="5"/>
      <c r="N19" s="5" t="s">
        <v>1883</v>
      </c>
      <c r="O19" s="17" t="s">
        <v>116</v>
      </c>
    </row>
    <row r="20" customFormat="false" ht="23.85" hidden="false" customHeight="false" outlineLevel="0" collapsed="false">
      <c r="A20" s="5" t="s">
        <v>1884</v>
      </c>
      <c r="B20" s="5" t="s">
        <v>1885</v>
      </c>
      <c r="C20" s="5" t="s">
        <v>1886</v>
      </c>
      <c r="D20" s="16" t="n">
        <v>421</v>
      </c>
      <c r="E20" s="5" t="s">
        <v>1827</v>
      </c>
      <c r="F20" s="16" t="n">
        <v>5</v>
      </c>
      <c r="G20" s="16" t="n">
        <v>2</v>
      </c>
      <c r="H20" s="16" t="n">
        <v>2</v>
      </c>
      <c r="I20" s="5" t="s">
        <v>1887</v>
      </c>
      <c r="J20" s="6" t="n">
        <v>3.88</v>
      </c>
      <c r="K20" s="23" t="n">
        <v>1</v>
      </c>
      <c r="L20" s="6" t="n">
        <f aca="false">G20*1.44+IF(K20&gt;0,1,0)</f>
        <v>3.88</v>
      </c>
      <c r="M20" s="18" t="s">
        <v>1833</v>
      </c>
      <c r="N20" s="5" t="s">
        <v>1888</v>
      </c>
      <c r="O20" s="17" t="s">
        <v>116</v>
      </c>
    </row>
    <row r="21" customFormat="false" ht="23.85" hidden="false" customHeight="false" outlineLevel="0" collapsed="false">
      <c r="A21" s="5" t="s">
        <v>1889</v>
      </c>
      <c r="B21" s="5" t="s">
        <v>1890</v>
      </c>
      <c r="C21" s="5" t="s">
        <v>1891</v>
      </c>
      <c r="D21" s="16" t="n">
        <v>330</v>
      </c>
      <c r="E21" s="5" t="s">
        <v>1827</v>
      </c>
      <c r="F21" s="16" t="n">
        <v>11</v>
      </c>
      <c r="G21" s="16" t="n">
        <v>4</v>
      </c>
      <c r="H21" s="16" t="n">
        <v>2</v>
      </c>
      <c r="I21" s="5" t="s">
        <v>1887</v>
      </c>
      <c r="J21" s="6" t="n">
        <v>6.76</v>
      </c>
      <c r="K21" s="23" t="n">
        <v>1</v>
      </c>
      <c r="L21" s="6" t="n">
        <f aca="false">G21*1.44+IF(K21&gt;0,1,0)</f>
        <v>6.76</v>
      </c>
      <c r="M21" s="18" t="s">
        <v>1833</v>
      </c>
      <c r="N21" s="5" t="s">
        <v>1892</v>
      </c>
      <c r="O21" s="17" t="s">
        <v>116</v>
      </c>
    </row>
    <row r="22" customFormat="false" ht="15" hidden="false" customHeight="false" outlineLevel="0" collapsed="false">
      <c r="A22" s="5" t="s">
        <v>1893</v>
      </c>
      <c r="B22" s="5" t="s">
        <v>1894</v>
      </c>
      <c r="C22" s="5" t="s">
        <v>1895</v>
      </c>
      <c r="D22" s="16" t="n">
        <v>183</v>
      </c>
      <c r="E22" s="5" t="s">
        <v>1827</v>
      </c>
      <c r="F22" s="16" t="n">
        <v>9</v>
      </c>
      <c r="G22" s="16" t="n">
        <v>3</v>
      </c>
      <c r="H22" s="16" t="n">
        <v>1</v>
      </c>
      <c r="I22" s="5" t="s">
        <v>1822</v>
      </c>
      <c r="J22" s="6" t="n">
        <v>5.32</v>
      </c>
      <c r="K22" s="16" t="n">
        <v>1</v>
      </c>
      <c r="L22" s="6" t="n">
        <f aca="false">G22*1.44+IF(K22&gt;0,1,0)</f>
        <v>5.32</v>
      </c>
      <c r="M22" s="5"/>
      <c r="N22" s="5" t="s">
        <v>1896</v>
      </c>
      <c r="O22" s="17" t="s">
        <v>116</v>
      </c>
    </row>
    <row r="23" customFormat="false" ht="15" hidden="false" customHeight="false" outlineLevel="0" collapsed="false">
      <c r="A23" s="5" t="s">
        <v>1897</v>
      </c>
      <c r="B23" s="5" t="s">
        <v>1898</v>
      </c>
      <c r="C23" s="5" t="s">
        <v>1899</v>
      </c>
      <c r="D23" s="16" t="n">
        <v>168</v>
      </c>
      <c r="E23" s="5" t="s">
        <v>1827</v>
      </c>
      <c r="F23" s="16" t="n">
        <v>7</v>
      </c>
      <c r="G23" s="16" t="n">
        <v>3</v>
      </c>
      <c r="H23" s="16" t="n">
        <v>1</v>
      </c>
      <c r="I23" s="5" t="s">
        <v>1822</v>
      </c>
      <c r="J23" s="6" t="n">
        <v>5.32</v>
      </c>
      <c r="K23" s="16" t="n">
        <v>1</v>
      </c>
      <c r="L23" s="6" t="n">
        <f aca="false">G23*1.44+IF(K23&gt;0,1,0)</f>
        <v>5.32</v>
      </c>
      <c r="M23" s="5"/>
      <c r="N23" s="5" t="s">
        <v>1900</v>
      </c>
      <c r="O23" s="17" t="s">
        <v>116</v>
      </c>
    </row>
    <row r="24" customFormat="false" ht="23.85" hidden="false" customHeight="false" outlineLevel="0" collapsed="false">
      <c r="A24" s="5" t="s">
        <v>1901</v>
      </c>
      <c r="B24" s="5" t="s">
        <v>1902</v>
      </c>
      <c r="C24" s="5" t="s">
        <v>1903</v>
      </c>
      <c r="D24" s="16" t="n">
        <v>161</v>
      </c>
      <c r="E24" s="5" t="s">
        <v>1827</v>
      </c>
      <c r="F24" s="16" t="n">
        <v>3</v>
      </c>
      <c r="G24" s="16" t="n">
        <v>1</v>
      </c>
      <c r="H24" s="16" t="n">
        <v>1</v>
      </c>
      <c r="I24" s="5" t="s">
        <v>1822</v>
      </c>
      <c r="J24" s="6" t="n">
        <v>2.44</v>
      </c>
      <c r="K24" s="16" t="n">
        <v>1</v>
      </c>
      <c r="L24" s="6" t="n">
        <f aca="false">G24*1.44+IF(K24&gt;0,1,0)</f>
        <v>2.44</v>
      </c>
      <c r="M24" s="5"/>
      <c r="N24" s="5" t="s">
        <v>1904</v>
      </c>
      <c r="O24" s="17" t="s">
        <v>116</v>
      </c>
    </row>
    <row r="25" customFormat="false" ht="23.85" hidden="false" customHeight="false" outlineLevel="0" collapsed="false">
      <c r="A25" s="5" t="s">
        <v>1905</v>
      </c>
      <c r="B25" s="5" t="s">
        <v>1906</v>
      </c>
      <c r="C25" s="5" t="s">
        <v>1907</v>
      </c>
      <c r="D25" s="16" t="n">
        <v>241</v>
      </c>
      <c r="E25" s="5" t="s">
        <v>1827</v>
      </c>
      <c r="F25" s="16" t="n">
        <v>8</v>
      </c>
      <c r="G25" s="16" t="n">
        <v>3</v>
      </c>
      <c r="H25" s="16" t="n">
        <v>1</v>
      </c>
      <c r="I25" s="5" t="s">
        <v>1822</v>
      </c>
      <c r="J25" s="6" t="n">
        <v>5.32</v>
      </c>
      <c r="K25" s="16" t="n">
        <v>1</v>
      </c>
      <c r="L25" s="6" t="n">
        <f aca="false">G25*1.44+IF(K25&gt;0,1,0)</f>
        <v>5.32</v>
      </c>
      <c r="M25" s="5"/>
      <c r="N25" s="5" t="s">
        <v>1908</v>
      </c>
      <c r="O25" s="17" t="s">
        <v>116</v>
      </c>
    </row>
    <row r="26" customFormat="false" ht="23.85" hidden="false" customHeight="false" outlineLevel="0" collapsed="false">
      <c r="A26" s="5" t="s">
        <v>1909</v>
      </c>
      <c r="B26" s="5" t="s">
        <v>1910</v>
      </c>
      <c r="C26" s="5" t="s">
        <v>1886</v>
      </c>
      <c r="D26" s="16" t="n">
        <v>161</v>
      </c>
      <c r="E26" s="5" t="s">
        <v>1857</v>
      </c>
      <c r="F26" s="16" t="n">
        <v>3</v>
      </c>
      <c r="G26" s="16" t="n">
        <v>0</v>
      </c>
      <c r="H26" s="16" t="n">
        <v>2</v>
      </c>
      <c r="I26" s="5" t="s">
        <v>1858</v>
      </c>
      <c r="J26" s="6" t="n">
        <v>2</v>
      </c>
      <c r="K26" s="23" t="n">
        <v>1</v>
      </c>
      <c r="L26" s="6" t="n">
        <f aca="false">K26*1</f>
        <v>1</v>
      </c>
      <c r="M26" s="18" t="s">
        <v>1859</v>
      </c>
      <c r="N26" s="5" t="s">
        <v>1911</v>
      </c>
      <c r="O26" s="17" t="s">
        <v>116</v>
      </c>
    </row>
    <row r="27" customFormat="false" ht="15" hidden="false" customHeight="false" outlineLevel="0" collapsed="false">
      <c r="A27" s="7" t="s">
        <v>1912</v>
      </c>
      <c r="F27" s="23" t="n">
        <f aca="false">SUM(F6:F26)</f>
        <v>298</v>
      </c>
      <c r="G27" s="23" t="n">
        <f aca="false">SUM(G6:G26)</f>
        <v>44</v>
      </c>
      <c r="H27" s="23" t="n">
        <f aca="false">SUM(H6:H26)</f>
        <v>32</v>
      </c>
      <c r="J27" s="8" t="n">
        <f aca="false">SUM(J6:J26)</f>
        <v>108.29</v>
      </c>
      <c r="K27" s="23" t="n">
        <f aca="false">SUM(K6:K26)</f>
        <v>27</v>
      </c>
      <c r="L27" s="8" t="n">
        <f aca="false">SUM(L6:L26)</f>
        <v>106.29</v>
      </c>
    </row>
    <row r="28" customFormat="false" ht="32.8" hidden="false" customHeight="false" outlineLevel="0" collapsed="false">
      <c r="A28" s="24" t="s">
        <v>1913</v>
      </c>
    </row>
    <row r="30" customFormat="false" ht="15" hidden="false" customHeight="false" outlineLevel="0" collapsed="false">
      <c r="A30" s="4" t="s">
        <v>33</v>
      </c>
      <c r="B30" s="4"/>
      <c r="C30" s="4"/>
      <c r="D30" s="4"/>
      <c r="E30" s="4"/>
      <c r="F30" s="4"/>
      <c r="G30" s="4"/>
      <c r="H30" s="4"/>
      <c r="I30" s="4"/>
      <c r="J30" s="4"/>
      <c r="K30" s="4"/>
      <c r="L30" s="4"/>
      <c r="M30" s="4"/>
    </row>
    <row r="31" customFormat="false" ht="23.85" hidden="false" customHeight="false" outlineLevel="0" collapsed="false">
      <c r="A31" s="5" t="s">
        <v>1914</v>
      </c>
      <c r="B31" s="5" t="s">
        <v>1915</v>
      </c>
      <c r="C31" s="5" t="s">
        <v>1916</v>
      </c>
      <c r="D31" s="16" t="n">
        <v>52</v>
      </c>
      <c r="E31" s="5" t="s">
        <v>1917</v>
      </c>
      <c r="I31" s="5" t="s">
        <v>1918</v>
      </c>
      <c r="J31" s="6" t="n">
        <v>7.36</v>
      </c>
      <c r="L31" s="6" t="n">
        <f aca="false">J31</f>
        <v>7.36</v>
      </c>
      <c r="N31" s="5" t="s">
        <v>1919</v>
      </c>
      <c r="O31" s="17" t="s">
        <v>116</v>
      </c>
    </row>
    <row r="32" customFormat="false" ht="23.85" hidden="false" customHeight="false" outlineLevel="0" collapsed="false">
      <c r="A32" s="5" t="s">
        <v>1824</v>
      </c>
      <c r="B32" s="5" t="s">
        <v>1920</v>
      </c>
      <c r="C32" s="5" t="s">
        <v>1921</v>
      </c>
      <c r="D32" s="16" t="n">
        <v>2</v>
      </c>
      <c r="E32" s="5" t="s">
        <v>1922</v>
      </c>
      <c r="I32" s="5" t="s">
        <v>1923</v>
      </c>
      <c r="J32" s="6" t="n">
        <v>0.49</v>
      </c>
      <c r="L32" s="6" t="n">
        <f aca="false">J32</f>
        <v>0.49</v>
      </c>
      <c r="N32" s="5" t="s">
        <v>1924</v>
      </c>
      <c r="O32" s="17" t="s">
        <v>116</v>
      </c>
    </row>
    <row r="33" customFormat="false" ht="15" hidden="false" customHeight="false" outlineLevel="0" collapsed="false">
      <c r="A33" s="5" t="s">
        <v>1829</v>
      </c>
      <c r="B33" s="5" t="s">
        <v>1925</v>
      </c>
      <c r="C33" s="5" t="s">
        <v>1926</v>
      </c>
      <c r="D33" s="16" t="n">
        <v>11</v>
      </c>
      <c r="E33" s="5" t="s">
        <v>1927</v>
      </c>
      <c r="I33" s="5" t="s">
        <v>1928</v>
      </c>
      <c r="J33" s="6" t="n">
        <v>3.07</v>
      </c>
      <c r="L33" s="6" t="n">
        <f aca="false">J33</f>
        <v>3.07</v>
      </c>
      <c r="N33" s="5" t="s">
        <v>1929</v>
      </c>
      <c r="O33" s="17" t="s">
        <v>116</v>
      </c>
    </row>
    <row r="34" customFormat="false" ht="23.85" hidden="false" customHeight="false" outlineLevel="0" collapsed="false">
      <c r="A34" s="5" t="s">
        <v>1930</v>
      </c>
      <c r="B34" s="5" t="s">
        <v>1931</v>
      </c>
      <c r="C34" s="5" t="s">
        <v>1932</v>
      </c>
      <c r="D34" s="16" t="n">
        <v>13</v>
      </c>
      <c r="E34" s="5" t="s">
        <v>1933</v>
      </c>
      <c r="I34" s="5" t="s">
        <v>1934</v>
      </c>
      <c r="J34" s="6" t="n">
        <v>0.66</v>
      </c>
      <c r="L34" s="6" t="n">
        <f aca="false">J34</f>
        <v>0.66</v>
      </c>
      <c r="N34" s="5" t="s">
        <v>1935</v>
      </c>
      <c r="O34" s="17" t="s">
        <v>116</v>
      </c>
    </row>
    <row r="35" customFormat="false" ht="15" hidden="false" customHeight="false" outlineLevel="0" collapsed="false">
      <c r="A35" s="5" t="s">
        <v>1936</v>
      </c>
      <c r="B35" s="5" t="s">
        <v>1937</v>
      </c>
      <c r="C35" s="5" t="s">
        <v>1938</v>
      </c>
      <c r="D35" s="16" t="n">
        <v>1</v>
      </c>
      <c r="E35" s="5" t="s">
        <v>1939</v>
      </c>
      <c r="I35" s="5" t="s">
        <v>1940</v>
      </c>
      <c r="J35" s="6" t="n">
        <v>0.25</v>
      </c>
      <c r="L35" s="6" t="n">
        <f aca="false">J35</f>
        <v>0.25</v>
      </c>
      <c r="N35" s="5" t="s">
        <v>1941</v>
      </c>
      <c r="O35" s="17" t="s">
        <v>116</v>
      </c>
    </row>
    <row r="36" customFormat="false" ht="23.85" hidden="false" customHeight="false" outlineLevel="0" collapsed="false">
      <c r="A36" s="5" t="s">
        <v>1942</v>
      </c>
      <c r="B36" s="5" t="s">
        <v>1943</v>
      </c>
      <c r="C36" s="5" t="s">
        <v>1944</v>
      </c>
      <c r="D36" s="16" t="n">
        <v>29</v>
      </c>
      <c r="E36" s="5" t="s">
        <v>1945</v>
      </c>
      <c r="I36" s="5" t="s">
        <v>1946</v>
      </c>
      <c r="J36" s="6" t="n">
        <v>17.71</v>
      </c>
      <c r="L36" s="6" t="n">
        <f aca="false">J36</f>
        <v>17.71</v>
      </c>
      <c r="N36" s="5" t="s">
        <v>1947</v>
      </c>
      <c r="O36" s="17" t="s">
        <v>116</v>
      </c>
    </row>
    <row r="37" customFormat="false" ht="23.85" hidden="false" customHeight="false" outlineLevel="0" collapsed="false">
      <c r="A37" s="5" t="s">
        <v>1948</v>
      </c>
      <c r="B37" s="5" t="s">
        <v>1949</v>
      </c>
      <c r="C37" s="5" t="s">
        <v>1950</v>
      </c>
      <c r="D37" s="16" t="n">
        <v>29</v>
      </c>
      <c r="E37" s="5" t="s">
        <v>1951</v>
      </c>
      <c r="I37" s="5" t="s">
        <v>1952</v>
      </c>
      <c r="J37" s="6" t="n">
        <v>17.71</v>
      </c>
      <c r="L37" s="6" t="n">
        <f aca="false">J37</f>
        <v>17.71</v>
      </c>
      <c r="N37" s="5" t="s">
        <v>1953</v>
      </c>
      <c r="O37" s="17" t="s">
        <v>116</v>
      </c>
    </row>
    <row r="38" customFormat="false" ht="15" hidden="false" customHeight="false" outlineLevel="0" collapsed="false">
      <c r="A38" s="7" t="s">
        <v>1954</v>
      </c>
      <c r="J38" s="8" t="n">
        <f aca="false">SUM(J31:J37)</f>
        <v>47.25</v>
      </c>
      <c r="L38" s="8" t="n">
        <f aca="false">SUM(L31:L37)</f>
        <v>47.25</v>
      </c>
    </row>
    <row r="39" customFormat="false" ht="32.8" hidden="false" customHeight="false" outlineLevel="0" collapsed="false">
      <c r="A39" s="24" t="s">
        <v>1955</v>
      </c>
    </row>
    <row r="41" customFormat="false" ht="15" hidden="false" customHeight="false" outlineLevel="0" collapsed="false">
      <c r="A41" s="4" t="s">
        <v>47</v>
      </c>
      <c r="B41" s="4"/>
      <c r="C41" s="4"/>
      <c r="D41" s="4"/>
      <c r="E41" s="4"/>
      <c r="F41" s="4"/>
      <c r="G41" s="4"/>
      <c r="H41" s="4"/>
      <c r="I41" s="4"/>
      <c r="J41" s="4"/>
      <c r="K41" s="4"/>
      <c r="L41" s="4"/>
      <c r="M41" s="4"/>
    </row>
    <row r="42" customFormat="false" ht="23.85" hidden="false" customHeight="false" outlineLevel="0" collapsed="false">
      <c r="A42" s="5" t="s">
        <v>1956</v>
      </c>
      <c r="B42" s="5" t="s">
        <v>1957</v>
      </c>
      <c r="C42" s="5" t="s">
        <v>1958</v>
      </c>
      <c r="D42" s="16" t="n">
        <v>238</v>
      </c>
      <c r="E42" s="5" t="s">
        <v>1959</v>
      </c>
      <c r="F42" s="16" t="n">
        <v>25</v>
      </c>
      <c r="I42" s="5" t="s">
        <v>1960</v>
      </c>
      <c r="J42" s="6" t="n">
        <v>60</v>
      </c>
      <c r="L42" s="6" t="n">
        <f aca="false">J42</f>
        <v>60</v>
      </c>
      <c r="M42" s="18"/>
      <c r="N42" s="5" t="s">
        <v>1961</v>
      </c>
      <c r="O42" s="17" t="s">
        <v>92</v>
      </c>
    </row>
    <row r="43" customFormat="false" ht="15" hidden="false" customHeight="false" outlineLevel="0" collapsed="false">
      <c r="A43" s="5" t="s">
        <v>1962</v>
      </c>
      <c r="B43" s="5" t="s">
        <v>1963</v>
      </c>
      <c r="C43" s="5" t="s">
        <v>1962</v>
      </c>
      <c r="D43" s="16" t="n">
        <v>271</v>
      </c>
      <c r="E43" s="5" t="s">
        <v>1964</v>
      </c>
      <c r="F43" s="16" t="n">
        <v>10</v>
      </c>
      <c r="I43" s="5" t="s">
        <v>1960</v>
      </c>
      <c r="J43" s="6" t="n">
        <v>24</v>
      </c>
      <c r="L43" s="6" t="n">
        <f aca="false">J43</f>
        <v>24</v>
      </c>
      <c r="M43" s="18"/>
      <c r="N43" s="5" t="s">
        <v>1961</v>
      </c>
      <c r="O43" s="17" t="s">
        <v>92</v>
      </c>
    </row>
    <row r="44" customFormat="false" ht="15" hidden="false" customHeight="false" outlineLevel="0" collapsed="false">
      <c r="A44" s="5" t="s">
        <v>1965</v>
      </c>
      <c r="B44" s="5" t="s">
        <v>1966</v>
      </c>
      <c r="C44" s="5" t="s">
        <v>1965</v>
      </c>
      <c r="D44" s="16" t="n">
        <v>271</v>
      </c>
      <c r="E44" s="5" t="s">
        <v>1964</v>
      </c>
      <c r="F44" s="16" t="n">
        <v>10</v>
      </c>
      <c r="I44" s="5" t="s">
        <v>1960</v>
      </c>
      <c r="J44" s="6" t="n">
        <v>24</v>
      </c>
      <c r="L44" s="6" t="n">
        <f aca="false">J44</f>
        <v>24</v>
      </c>
      <c r="M44" s="18"/>
      <c r="N44" s="5" t="s">
        <v>1961</v>
      </c>
      <c r="O44" s="17" t="s">
        <v>92</v>
      </c>
    </row>
    <row r="45" customFormat="false" ht="15" hidden="false" customHeight="false" outlineLevel="0" collapsed="false">
      <c r="A45" s="7" t="s">
        <v>1967</v>
      </c>
      <c r="J45" s="8" t="n">
        <f aca="false">SUM(J42:J44)</f>
        <v>108</v>
      </c>
      <c r="L45" s="8" t="n">
        <f aca="false">SUM(L42:L44)</f>
        <v>108</v>
      </c>
    </row>
  </sheetData>
  <mergeCells count="1">
    <mergeCell ref="A2:M2"/>
  </mergeCells>
  <hyperlinks>
    <hyperlink ref="O6" r:id="rId1" display="https://drive.google.com/file/d/1CxHINAnd0jSBd5QuU5_82_sKCJAVXu9r/view"/>
    <hyperlink ref="O7" r:id="rId2" display="https://drive.google.com/file/d/1CxHINAnd0jSBd5QuU5_82_sKCJAVXu9r/view"/>
    <hyperlink ref="O8" r:id="rId3" display="https://drive.google.com/file/d/1CxHINAnd0jSBd5QuU5_82_sKCJAVXu9r/view"/>
    <hyperlink ref="O9" r:id="rId4" display="https://drive.google.com/file/d/1CxHINAnd0jSBd5QuU5_82_sKCJAVXu9r/view"/>
    <hyperlink ref="O10" r:id="rId5" display="https://drive.google.com/file/d/1CxHINAnd0jSBd5QuU5_82_sKCJAVXu9r/view"/>
    <hyperlink ref="O11" r:id="rId6" display="https://drive.google.com/file/d/1CxHINAnd0jSBd5QuU5_82_sKCJAVXu9r/view"/>
    <hyperlink ref="O12" r:id="rId7" display="https://drive.google.com/file/d/1CxHINAnd0jSBd5QuU5_82_sKCJAVXu9r/view"/>
    <hyperlink ref="O13" r:id="rId8" display="https://drive.google.com/file/d/1CxHINAnd0jSBd5QuU5_82_sKCJAVXu9r/view"/>
    <hyperlink ref="O14" r:id="rId9" display="https://drive.google.com/file/d/1CxHINAnd0jSBd5QuU5_82_sKCJAVXu9r/view"/>
    <hyperlink ref="O15" r:id="rId10" display="https://drive.google.com/file/d/1CxHINAnd0jSBd5QuU5_82_sKCJAVXu9r/view"/>
    <hyperlink ref="O16" r:id="rId11" display="https://drive.google.com/file/d/1CxHINAnd0jSBd5QuU5_82_sKCJAVXu9r/view"/>
    <hyperlink ref="O17" r:id="rId12" display="https://drive.google.com/file/d/1CxHINAnd0jSBd5QuU5_82_sKCJAVXu9r/view"/>
    <hyperlink ref="O18" r:id="rId13" display="https://drive.google.com/file/d/1CxHINAnd0jSBd5QuU5_82_sKCJAVXu9r/view"/>
    <hyperlink ref="O19" r:id="rId14" display="https://drive.google.com/file/d/1CxHINAnd0jSBd5QuU5_82_sKCJAVXu9r/view"/>
    <hyperlink ref="O20" r:id="rId15" display="https://drive.google.com/file/d/1CxHINAnd0jSBd5QuU5_82_sKCJAVXu9r/view"/>
    <hyperlink ref="O21" r:id="rId16" display="https://drive.google.com/file/d/1CxHINAnd0jSBd5QuU5_82_sKCJAVXu9r/view"/>
    <hyperlink ref="O22" r:id="rId17" display="https://drive.google.com/file/d/1CxHINAnd0jSBd5QuU5_82_sKCJAVXu9r/view"/>
    <hyperlink ref="O23" r:id="rId18" display="https://drive.google.com/file/d/1CxHINAnd0jSBd5QuU5_82_sKCJAVXu9r/view"/>
    <hyperlink ref="O24" r:id="rId19" display="https://drive.google.com/file/d/1CxHINAnd0jSBd5QuU5_82_sKCJAVXu9r/view"/>
    <hyperlink ref="O25" r:id="rId20" display="https://drive.google.com/file/d/1CxHINAnd0jSBd5QuU5_82_sKCJAVXu9r/view"/>
    <hyperlink ref="O26" r:id="rId21" display="https://drive.google.com/file/d/1CxHINAnd0jSBd5QuU5_82_sKCJAVXu9r/view"/>
    <hyperlink ref="O31" r:id="rId22" display="https://drive.google.com/file/d/1CxHINAnd0jSBd5QuU5_82_sKCJAVXu9r/view"/>
    <hyperlink ref="O32" r:id="rId23" display="https://drive.google.com/file/d/1CxHINAnd0jSBd5QuU5_82_sKCJAVXu9r/view"/>
    <hyperlink ref="O33" r:id="rId24" display="https://drive.google.com/file/d/1CxHINAnd0jSBd5QuU5_82_sKCJAVXu9r/view"/>
    <hyperlink ref="O34" r:id="rId25" display="https://drive.google.com/file/d/1CxHINAnd0jSBd5QuU5_82_sKCJAVXu9r/view"/>
    <hyperlink ref="O35" r:id="rId26" display="https://drive.google.com/file/d/1CxHINAnd0jSBd5QuU5_82_sKCJAVXu9r/view"/>
    <hyperlink ref="O36" r:id="rId27" display="https://drive.google.com/file/d/1CxHINAnd0jSBd5QuU5_82_sKCJAVXu9r/view"/>
    <hyperlink ref="O37" r:id="rId28" display="https://drive.google.com/file/d/1CxHINAnd0jSBd5QuU5_82_sKCJAVXu9r/view"/>
    <hyperlink ref="O42" r:id="rId29" display="https://drive.google.com/file/d/1SwGuppOSsaAXO29onhyWUH40O1h_4XmG/view"/>
    <hyperlink ref="O43" r:id="rId30" display="https://drive.google.com/file/d/1SwGuppOSsaAXO29onhyWUH40O1h_4XmG/view"/>
    <hyperlink ref="O44" r:id="rId31" display="https://drive.google.com/file/d/1SwGuppOSsaAXO29onhyWUH40O1h_4XmG/vie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34"/>
    <col collapsed="false" customWidth="true" hidden="false" outlineLevel="0" max="4" min="4" style="0" width="14"/>
    <col collapsed="false" customWidth="true" hidden="false" outlineLevel="0" max="5" min="5" style="0" width="18"/>
    <col collapsed="false" customWidth="true" hidden="false" outlineLevel="0" max="6" min="6" style="0" width="14"/>
    <col collapsed="false" customWidth="true" hidden="false" outlineLevel="0" max="7" min="7" style="0" width="70"/>
    <col collapsed="false" customWidth="true" hidden="false" outlineLevel="0" max="8" min="8" style="0" width="22"/>
    <col collapsed="false" customWidth="true" hidden="false" outlineLevel="0" max="9" min="9" style="0" width="13"/>
    <col collapsed="false" customWidth="true" hidden="false" outlineLevel="0" max="11" min="10" style="0" width="40"/>
  </cols>
  <sheetData>
    <row r="1" customFormat="false" ht="16.15" hidden="false" customHeight="false" outlineLevel="0" collapsed="false">
      <c r="A1" s="1" t="s">
        <v>1968</v>
      </c>
    </row>
    <row r="3" customFormat="false" ht="15" hidden="false" customHeight="false" outlineLevel="0" collapsed="false">
      <c r="A3" s="7" t="s">
        <v>1969</v>
      </c>
    </row>
    <row r="4" customFormat="false" ht="15" hidden="false" customHeight="false" outlineLevel="0" collapsed="false">
      <c r="A4" s="3" t="s">
        <v>1970</v>
      </c>
      <c r="B4" s="3" t="s">
        <v>1971</v>
      </c>
      <c r="C4" s="3" t="s">
        <v>1972</v>
      </c>
      <c r="D4" s="3" t="s">
        <v>1973</v>
      </c>
      <c r="E4" s="3" t="s">
        <v>1974</v>
      </c>
      <c r="F4" s="3" t="s">
        <v>1975</v>
      </c>
      <c r="G4" s="3" t="s">
        <v>1976</v>
      </c>
      <c r="H4" s="3" t="s">
        <v>1977</v>
      </c>
    </row>
    <row r="5" customFormat="false" ht="23.85" hidden="false" customHeight="false" outlineLevel="0" collapsed="false">
      <c r="A5" s="5" t="s">
        <v>1978</v>
      </c>
      <c r="B5" s="5" t="n">
        <v>1200</v>
      </c>
      <c r="C5" s="5" t="n">
        <v>600</v>
      </c>
      <c r="D5" s="5" t="n">
        <v>2000</v>
      </c>
      <c r="E5" s="5" t="s">
        <v>1979</v>
      </c>
      <c r="F5" s="5" t="s">
        <v>1980</v>
      </c>
      <c r="G5" s="5" t="s">
        <v>1981</v>
      </c>
      <c r="H5" s="5" t="s">
        <v>1982</v>
      </c>
    </row>
    <row r="6" customFormat="false" ht="23.85" hidden="false" customHeight="false" outlineLevel="0" collapsed="false">
      <c r="A6" s="5" t="s">
        <v>1983</v>
      </c>
      <c r="B6" s="5" t="n">
        <v>1200</v>
      </c>
      <c r="C6" s="5" t="n">
        <v>600</v>
      </c>
      <c r="D6" s="5" t="n">
        <v>40</v>
      </c>
      <c r="E6" s="5" t="s">
        <v>426</v>
      </c>
      <c r="F6" s="5" t="s">
        <v>1984</v>
      </c>
      <c r="G6" s="5" t="s">
        <v>1985</v>
      </c>
      <c r="H6" s="5" t="s">
        <v>1986</v>
      </c>
    </row>
    <row r="7" customFormat="false" ht="23.85" hidden="false" customHeight="false" outlineLevel="0" collapsed="false">
      <c r="A7" s="5" t="s">
        <v>1987</v>
      </c>
      <c r="B7" s="5" t="n">
        <v>600</v>
      </c>
      <c r="C7" s="5" t="n">
        <v>400</v>
      </c>
      <c r="D7" s="5" t="n">
        <v>300</v>
      </c>
      <c r="E7" s="5" t="s">
        <v>426</v>
      </c>
      <c r="F7" s="5" t="s">
        <v>1988</v>
      </c>
      <c r="G7" s="5" t="s">
        <v>1989</v>
      </c>
      <c r="H7" s="5" t="s">
        <v>1990</v>
      </c>
    </row>
    <row r="8" customFormat="false" ht="23.85" hidden="false" customHeight="false" outlineLevel="0" collapsed="false">
      <c r="A8" s="5" t="s">
        <v>1991</v>
      </c>
      <c r="B8" s="5" t="n">
        <v>1300</v>
      </c>
      <c r="C8" s="5" t="n">
        <v>700</v>
      </c>
      <c r="D8" s="18" t="s">
        <v>119</v>
      </c>
      <c r="E8" s="5" t="s">
        <v>1992</v>
      </c>
      <c r="F8" s="5" t="s">
        <v>1993</v>
      </c>
      <c r="G8" s="5" t="s">
        <v>1994</v>
      </c>
      <c r="H8" s="5" t="s">
        <v>1995</v>
      </c>
    </row>
    <row r="9" customFormat="false" ht="23.85" hidden="false" customHeight="false" outlineLevel="0" collapsed="false">
      <c r="A9" s="5" t="s">
        <v>1996</v>
      </c>
      <c r="B9" s="5" t="n">
        <v>1300</v>
      </c>
      <c r="C9" s="5" t="n">
        <v>700</v>
      </c>
      <c r="D9" s="18" t="s">
        <v>119</v>
      </c>
      <c r="E9" s="5" t="s">
        <v>1997</v>
      </c>
      <c r="F9" s="5" t="s">
        <v>1998</v>
      </c>
      <c r="G9" s="5" t="s">
        <v>1999</v>
      </c>
      <c r="H9" s="5" t="s">
        <v>2000</v>
      </c>
    </row>
    <row r="10" customFormat="false" ht="23.85" hidden="false" customHeight="false" outlineLevel="0" collapsed="false">
      <c r="A10" s="5" t="s">
        <v>2001</v>
      </c>
      <c r="B10" s="5" t="n">
        <v>1200</v>
      </c>
      <c r="C10" s="5" t="n">
        <v>600</v>
      </c>
      <c r="D10" s="18" t="s">
        <v>119</v>
      </c>
      <c r="E10" s="5" t="s">
        <v>2002</v>
      </c>
      <c r="F10" s="5" t="s">
        <v>2003</v>
      </c>
      <c r="G10" s="5" t="s">
        <v>2004</v>
      </c>
      <c r="H10" s="5" t="s">
        <v>2005</v>
      </c>
    </row>
    <row r="11" customFormat="false" ht="23.85" hidden="false" customHeight="false" outlineLevel="0" collapsed="false">
      <c r="A11" s="5" t="s">
        <v>2006</v>
      </c>
      <c r="B11" s="5" t="n">
        <v>2700</v>
      </c>
      <c r="C11" s="5" t="n">
        <v>1200</v>
      </c>
      <c r="D11" s="18" t="s">
        <v>119</v>
      </c>
      <c r="E11" s="5" t="s">
        <v>1992</v>
      </c>
      <c r="F11" s="5" t="s">
        <v>2007</v>
      </c>
      <c r="G11" s="5" t="s">
        <v>2008</v>
      </c>
      <c r="H11" s="5" t="s">
        <v>2009</v>
      </c>
    </row>
    <row r="12" customFormat="false" ht="23.85" hidden="false" customHeight="false" outlineLevel="0" collapsed="false">
      <c r="A12" s="5" t="s">
        <v>2010</v>
      </c>
      <c r="B12" s="5" t="n">
        <v>1200</v>
      </c>
      <c r="C12" s="5" t="n">
        <v>800</v>
      </c>
      <c r="D12" s="5" t="n">
        <v>1045</v>
      </c>
      <c r="E12" s="5" t="s">
        <v>2011</v>
      </c>
      <c r="F12" s="5" t="s">
        <v>1998</v>
      </c>
      <c r="G12" s="5" t="s">
        <v>2012</v>
      </c>
      <c r="H12" s="5" t="s">
        <v>2013</v>
      </c>
    </row>
    <row r="13" customFormat="false" ht="35.05" hidden="false" customHeight="false" outlineLevel="0" collapsed="false">
      <c r="A13" s="5" t="s">
        <v>2014</v>
      </c>
      <c r="B13" s="5" t="n">
        <v>1200</v>
      </c>
      <c r="C13" s="5" t="n">
        <v>1000</v>
      </c>
      <c r="D13" s="18" t="s">
        <v>119</v>
      </c>
      <c r="E13" s="5" t="s">
        <v>2015</v>
      </c>
      <c r="F13" s="5" t="s">
        <v>2016</v>
      </c>
      <c r="G13" s="5" t="s">
        <v>2017</v>
      </c>
      <c r="H13" s="5" t="s">
        <v>2018</v>
      </c>
    </row>
    <row r="15" customFormat="false" ht="15" hidden="false" customHeight="false" outlineLevel="0" collapsed="false">
      <c r="A15" s="7" t="s">
        <v>2019</v>
      </c>
    </row>
    <row r="16" customFormat="false" ht="23.85" hidden="false" customHeight="false" outlineLevel="0" collapsed="false">
      <c r="A16" s="3" t="s">
        <v>2020</v>
      </c>
      <c r="B16" s="3" t="s">
        <v>2021</v>
      </c>
      <c r="C16" s="3" t="s">
        <v>2022</v>
      </c>
      <c r="D16" s="3" t="s">
        <v>2023</v>
      </c>
      <c r="E16" s="3" t="s">
        <v>2024</v>
      </c>
      <c r="F16" s="3" t="s">
        <v>2025</v>
      </c>
      <c r="G16" s="3" t="s">
        <v>2026</v>
      </c>
      <c r="H16" s="3" t="s">
        <v>2027</v>
      </c>
      <c r="I16" s="3" t="s">
        <v>2028</v>
      </c>
      <c r="J16" s="3" t="s">
        <v>89</v>
      </c>
      <c r="K16" s="3" t="s">
        <v>1812</v>
      </c>
    </row>
    <row r="17" customFormat="false" ht="23.85" hidden="false" customHeight="false" outlineLevel="0" collapsed="false">
      <c r="A17" s="7" t="s">
        <v>2029</v>
      </c>
      <c r="B17" s="5" t="s">
        <v>2030</v>
      </c>
      <c r="C17" s="5" t="s">
        <v>2031</v>
      </c>
      <c r="D17" s="16" t="n">
        <v>254</v>
      </c>
      <c r="E17" s="25" t="n">
        <v>149.9</v>
      </c>
      <c r="F17" s="16" t="n">
        <v>229</v>
      </c>
      <c r="G17" s="5" t="s">
        <v>2032</v>
      </c>
      <c r="H17" s="16" t="n">
        <v>1270</v>
      </c>
      <c r="I17" s="16" t="n">
        <v>762</v>
      </c>
      <c r="K17" s="5" t="s">
        <v>2033</v>
      </c>
    </row>
    <row r="18" customFormat="false" ht="23.85" hidden="false" customHeight="false" outlineLevel="0" collapsed="false">
      <c r="A18" s="5"/>
      <c r="B18" s="5" t="s">
        <v>2034</v>
      </c>
      <c r="C18" s="5" t="s">
        <v>2035</v>
      </c>
      <c r="D18" s="16" t="n">
        <v>147</v>
      </c>
      <c r="E18" s="25" t="n">
        <v>149.9</v>
      </c>
      <c r="F18" s="16" t="n">
        <v>184</v>
      </c>
      <c r="G18" s="5" t="s">
        <v>2036</v>
      </c>
      <c r="H18" s="16" t="n">
        <v>735</v>
      </c>
      <c r="I18" s="16" t="n">
        <v>441</v>
      </c>
      <c r="K18" s="5" t="s">
        <v>2037</v>
      </c>
    </row>
    <row r="19" customFormat="false" ht="23.85" hidden="false" customHeight="false" outlineLevel="0" collapsed="false">
      <c r="A19" s="5"/>
      <c r="B19" s="5" t="s">
        <v>2038</v>
      </c>
      <c r="C19" s="5" t="s">
        <v>2039</v>
      </c>
      <c r="D19" s="16" t="n">
        <v>76</v>
      </c>
      <c r="E19" s="25" t="n">
        <v>149.7</v>
      </c>
      <c r="F19" s="16" t="n">
        <v>122</v>
      </c>
      <c r="G19" s="5" t="s">
        <v>2040</v>
      </c>
      <c r="H19" s="16" t="n">
        <v>456</v>
      </c>
      <c r="I19" s="16" t="n">
        <v>228</v>
      </c>
      <c r="K19" s="5" t="s">
        <v>2041</v>
      </c>
    </row>
    <row r="20" customFormat="false" ht="23.85" hidden="false" customHeight="false" outlineLevel="0" collapsed="false">
      <c r="A20" s="11"/>
      <c r="B20" s="11" t="s">
        <v>2042</v>
      </c>
      <c r="C20" s="11" t="s">
        <v>2043</v>
      </c>
      <c r="D20" s="12" t="n">
        <v>34</v>
      </c>
      <c r="E20" s="26" t="n">
        <v>148.9</v>
      </c>
      <c r="F20" s="12" t="n">
        <v>68</v>
      </c>
      <c r="G20" s="11" t="s">
        <v>2044</v>
      </c>
      <c r="H20" s="12" t="n">
        <v>272</v>
      </c>
      <c r="I20" s="12" t="n">
        <v>102</v>
      </c>
      <c r="K20" s="5" t="s">
        <v>2045</v>
      </c>
    </row>
    <row r="21" customFormat="false" ht="23.85" hidden="false" customHeight="false" outlineLevel="0" collapsed="false">
      <c r="A21" s="7" t="s">
        <v>2046</v>
      </c>
      <c r="B21" s="5" t="s">
        <v>2030</v>
      </c>
      <c r="C21" s="5" t="s">
        <v>2047</v>
      </c>
      <c r="D21" s="16" t="n">
        <v>105</v>
      </c>
      <c r="E21" s="25" t="n">
        <v>62</v>
      </c>
      <c r="F21" s="16" t="n">
        <v>297.5</v>
      </c>
      <c r="G21" s="5" t="s">
        <v>2048</v>
      </c>
      <c r="H21" s="16" t="n">
        <v>420</v>
      </c>
      <c r="I21" s="16" t="n">
        <v>315</v>
      </c>
      <c r="K21" s="5" t="s">
        <v>2049</v>
      </c>
    </row>
    <row r="22" customFormat="false" ht="23.85" hidden="false" customHeight="false" outlineLevel="0" collapsed="false">
      <c r="A22" s="5"/>
      <c r="B22" s="5" t="s">
        <v>2034</v>
      </c>
      <c r="C22" s="5" t="s">
        <v>2050</v>
      </c>
      <c r="D22" s="16" t="n">
        <v>36</v>
      </c>
      <c r="E22" s="25" t="n">
        <v>36.7</v>
      </c>
      <c r="F22" s="16" t="n">
        <v>333</v>
      </c>
      <c r="G22" s="5" t="s">
        <v>2051</v>
      </c>
      <c r="H22" s="16" t="n">
        <v>144</v>
      </c>
      <c r="I22" s="16" t="n">
        <v>108</v>
      </c>
      <c r="K22" s="5" t="s">
        <v>2052</v>
      </c>
    </row>
    <row r="23" customFormat="false" ht="23.85" hidden="false" customHeight="false" outlineLevel="0" collapsed="false">
      <c r="A23" s="5"/>
      <c r="B23" s="5" t="s">
        <v>2038</v>
      </c>
      <c r="C23" s="5" t="s">
        <v>2053</v>
      </c>
      <c r="D23" s="16" t="n">
        <v>21</v>
      </c>
      <c r="E23" s="25" t="n">
        <v>41.4</v>
      </c>
      <c r="F23" s="16" t="n">
        <v>414</v>
      </c>
      <c r="G23" s="5" t="s">
        <v>2054</v>
      </c>
      <c r="H23" s="16" t="n">
        <v>63</v>
      </c>
      <c r="I23" s="16" t="n">
        <v>63</v>
      </c>
      <c r="K23" s="5" t="s">
        <v>2055</v>
      </c>
    </row>
    <row r="24" customFormat="false" ht="23.85" hidden="false" customHeight="false" outlineLevel="0" collapsed="false">
      <c r="A24" s="11"/>
      <c r="B24" s="11" t="s">
        <v>2042</v>
      </c>
      <c r="C24" s="11" t="s">
        <v>2056</v>
      </c>
      <c r="D24" s="12" t="n">
        <v>18</v>
      </c>
      <c r="E24" s="26" t="n">
        <v>78.8</v>
      </c>
      <c r="F24" s="12" t="n">
        <v>582</v>
      </c>
      <c r="G24" s="11" t="s">
        <v>2057</v>
      </c>
      <c r="H24" s="12" t="n">
        <v>54</v>
      </c>
      <c r="I24" s="12" t="n">
        <v>54</v>
      </c>
      <c r="K24" s="5" t="s">
        <v>2058</v>
      </c>
    </row>
    <row r="25" customFormat="false" ht="23.85" hidden="false" customHeight="false" outlineLevel="0" collapsed="false">
      <c r="A25" s="7" t="s">
        <v>2059</v>
      </c>
      <c r="B25" s="5" t="s">
        <v>2030</v>
      </c>
      <c r="C25" s="5" t="s">
        <v>2047</v>
      </c>
      <c r="D25" s="16" t="n">
        <v>105</v>
      </c>
      <c r="E25" s="25" t="n">
        <v>74.5</v>
      </c>
      <c r="F25" s="16" t="n">
        <v>297.5</v>
      </c>
      <c r="G25" s="5" t="s">
        <v>2048</v>
      </c>
      <c r="H25" s="16" t="n">
        <v>420</v>
      </c>
      <c r="I25" s="16" t="n">
        <v>315</v>
      </c>
      <c r="K25" s="5" t="s">
        <v>2060</v>
      </c>
    </row>
    <row r="26" customFormat="false" ht="23.85" hidden="false" customHeight="false" outlineLevel="0" collapsed="false">
      <c r="A26" s="5"/>
      <c r="B26" s="5" t="s">
        <v>2034</v>
      </c>
      <c r="C26" s="5" t="s">
        <v>2050</v>
      </c>
      <c r="D26" s="16" t="n">
        <v>36</v>
      </c>
      <c r="E26" s="25" t="n">
        <v>48.6</v>
      </c>
      <c r="F26" s="16" t="n">
        <v>333</v>
      </c>
      <c r="G26" s="5" t="s">
        <v>2051</v>
      </c>
      <c r="H26" s="16" t="n">
        <v>144</v>
      </c>
      <c r="I26" s="16" t="n">
        <v>108</v>
      </c>
      <c r="K26" s="5" t="s">
        <v>2061</v>
      </c>
    </row>
    <row r="27" customFormat="false" ht="23.85" hidden="false" customHeight="false" outlineLevel="0" collapsed="false">
      <c r="A27" s="5"/>
      <c r="B27" s="5" t="s">
        <v>2038</v>
      </c>
      <c r="C27" s="5" t="s">
        <v>2053</v>
      </c>
      <c r="D27" s="16" t="n">
        <v>21</v>
      </c>
      <c r="E27" s="25" t="n">
        <v>54.6</v>
      </c>
      <c r="F27" s="16" t="n">
        <v>414</v>
      </c>
      <c r="G27" s="5" t="s">
        <v>2054</v>
      </c>
      <c r="H27" s="16" t="n">
        <v>63</v>
      </c>
      <c r="I27" s="16" t="n">
        <v>63</v>
      </c>
      <c r="K27" s="5" t="s">
        <v>2062</v>
      </c>
    </row>
    <row r="28" customFormat="false" ht="23.85" hidden="false" customHeight="false" outlineLevel="0" collapsed="false">
      <c r="A28" s="11"/>
      <c r="B28" s="11" t="s">
        <v>2042</v>
      </c>
      <c r="C28" s="11" t="s">
        <v>2056</v>
      </c>
      <c r="D28" s="12" t="n">
        <v>18</v>
      </c>
      <c r="E28" s="26" t="n">
        <v>98.6</v>
      </c>
      <c r="F28" s="12" t="n">
        <v>582</v>
      </c>
      <c r="G28" s="11" t="s">
        <v>2057</v>
      </c>
      <c r="H28" s="12" t="n">
        <v>54</v>
      </c>
      <c r="I28" s="12" t="n">
        <v>54</v>
      </c>
      <c r="K28" s="5" t="s">
        <v>2063</v>
      </c>
    </row>
    <row r="29" customFormat="false" ht="23.85" hidden="false" customHeight="false" outlineLevel="0" collapsed="false">
      <c r="A29" s="7" t="s">
        <v>2064</v>
      </c>
      <c r="B29" s="5" t="s">
        <v>2030</v>
      </c>
      <c r="C29" s="5" t="s">
        <v>2065</v>
      </c>
      <c r="D29" s="16" t="n">
        <v>72</v>
      </c>
      <c r="E29" s="25" t="n">
        <v>149.8</v>
      </c>
      <c r="F29" s="16" t="n">
        <v>390</v>
      </c>
      <c r="G29" s="5" t="s">
        <v>2066</v>
      </c>
      <c r="H29" s="16" t="n">
        <v>216</v>
      </c>
      <c r="I29" s="16" t="n">
        <v>216</v>
      </c>
      <c r="K29" s="5" t="s">
        <v>2067</v>
      </c>
    </row>
    <row r="30" customFormat="false" ht="23.85" hidden="false" customHeight="false" outlineLevel="0" collapsed="false">
      <c r="A30" s="5"/>
      <c r="B30" s="5" t="s">
        <v>2034</v>
      </c>
      <c r="C30" s="5" t="s">
        <v>2068</v>
      </c>
      <c r="D30" s="16" t="n">
        <v>34</v>
      </c>
      <c r="E30" s="25" t="n">
        <v>146.2</v>
      </c>
      <c r="F30" s="16" t="n">
        <v>415</v>
      </c>
      <c r="G30" s="5" t="s">
        <v>2069</v>
      </c>
      <c r="H30" s="16" t="n">
        <v>102</v>
      </c>
      <c r="I30" s="16" t="n">
        <v>102</v>
      </c>
      <c r="K30" s="5" t="s">
        <v>2070</v>
      </c>
    </row>
    <row r="31" customFormat="false" ht="23.85" hidden="false" customHeight="false" outlineLevel="0" collapsed="false">
      <c r="A31" s="5"/>
      <c r="B31" s="5" t="s">
        <v>2038</v>
      </c>
      <c r="C31" s="5" t="s">
        <v>2071</v>
      </c>
      <c r="D31" s="16" t="n">
        <v>18</v>
      </c>
      <c r="E31" s="25" t="n">
        <v>145.8</v>
      </c>
      <c r="F31" s="16" t="n">
        <v>495</v>
      </c>
      <c r="G31" s="5" t="s">
        <v>2072</v>
      </c>
      <c r="H31" s="16" t="n">
        <v>54</v>
      </c>
      <c r="I31" s="16" t="n">
        <v>54</v>
      </c>
      <c r="K31" s="5" t="s">
        <v>2073</v>
      </c>
    </row>
    <row r="32" customFormat="false" ht="23.85" hidden="false" customHeight="false" outlineLevel="0" collapsed="false">
      <c r="A32" s="11"/>
      <c r="B32" s="11" t="s">
        <v>2042</v>
      </c>
      <c r="C32" s="11" t="s">
        <v>2074</v>
      </c>
      <c r="D32" s="12" t="n">
        <v>9</v>
      </c>
      <c r="E32" s="26" t="n">
        <v>143.5</v>
      </c>
      <c r="F32" s="12" t="n">
        <v>665</v>
      </c>
      <c r="G32" s="11" t="s">
        <v>2075</v>
      </c>
      <c r="H32" s="12" t="n">
        <v>18</v>
      </c>
      <c r="I32" s="12" t="n">
        <v>27</v>
      </c>
      <c r="J32" s="18" t="s">
        <v>2076</v>
      </c>
      <c r="K32" s="5" t="s">
        <v>2077</v>
      </c>
    </row>
    <row r="33" customFormat="false" ht="23.85" hidden="false" customHeight="false" outlineLevel="0" collapsed="false">
      <c r="A33" s="7" t="s">
        <v>2078</v>
      </c>
      <c r="B33" s="5" t="s">
        <v>2030</v>
      </c>
      <c r="C33" s="5" t="s">
        <v>2079</v>
      </c>
      <c r="D33" s="16" t="n">
        <v>288</v>
      </c>
      <c r="E33" s="25" t="n">
        <v>17.4</v>
      </c>
      <c r="F33" s="16" t="n">
        <v>300</v>
      </c>
      <c r="G33" s="5" t="s">
        <v>2080</v>
      </c>
      <c r="H33" s="16" t="n">
        <v>3456</v>
      </c>
      <c r="I33" s="16" t="n">
        <v>3456</v>
      </c>
      <c r="K33" s="5" t="s">
        <v>2081</v>
      </c>
    </row>
    <row r="34" customFormat="false" ht="23.85" hidden="false" customHeight="false" outlineLevel="0" collapsed="false">
      <c r="A34" s="5"/>
      <c r="B34" s="5" t="s">
        <v>2034</v>
      </c>
      <c r="C34" s="5" t="s">
        <v>2082</v>
      </c>
      <c r="D34" s="16" t="n">
        <v>88</v>
      </c>
      <c r="E34" s="25" t="n">
        <v>19.7</v>
      </c>
      <c r="F34" s="16" t="n">
        <v>300</v>
      </c>
      <c r="G34" s="5" t="s">
        <v>2080</v>
      </c>
      <c r="H34" s="16" t="n">
        <v>1056</v>
      </c>
      <c r="I34" s="16" t="n">
        <v>1056</v>
      </c>
      <c r="K34" s="5" t="s">
        <v>2083</v>
      </c>
    </row>
    <row r="35" customFormat="false" ht="23.85" hidden="false" customHeight="false" outlineLevel="0" collapsed="false">
      <c r="A35" s="5"/>
      <c r="B35" s="5" t="s">
        <v>2038</v>
      </c>
      <c r="C35" s="5" t="s">
        <v>2084</v>
      </c>
      <c r="D35" s="16" t="n">
        <v>48</v>
      </c>
      <c r="E35" s="25" t="n">
        <v>19.3</v>
      </c>
      <c r="F35" s="16" t="n">
        <v>300</v>
      </c>
      <c r="G35" s="5" t="s">
        <v>2080</v>
      </c>
      <c r="H35" s="16" t="n">
        <v>576</v>
      </c>
      <c r="I35" s="16" t="n">
        <v>576</v>
      </c>
      <c r="K35" s="5" t="s">
        <v>2085</v>
      </c>
    </row>
    <row r="36" customFormat="false" ht="23.85" hidden="false" customHeight="false" outlineLevel="0" collapsed="false">
      <c r="A36" s="11"/>
      <c r="B36" s="11" t="s">
        <v>2042</v>
      </c>
      <c r="C36" s="11" t="s">
        <v>2086</v>
      </c>
      <c r="D36" s="12" t="n">
        <v>27</v>
      </c>
      <c r="E36" s="26" t="n">
        <v>18.4</v>
      </c>
      <c r="F36" s="12" t="n">
        <v>300</v>
      </c>
      <c r="G36" s="11" t="s">
        <v>2080</v>
      </c>
      <c r="H36" s="12" t="n">
        <v>324</v>
      </c>
      <c r="I36" s="12" t="n">
        <v>324</v>
      </c>
      <c r="K36" s="5" t="s">
        <v>2087</v>
      </c>
    </row>
    <row r="37" customFormat="false" ht="23.85" hidden="false" customHeight="false" outlineLevel="0" collapsed="false">
      <c r="A37" s="7" t="s">
        <v>2088</v>
      </c>
      <c r="B37" s="5" t="s">
        <v>2030</v>
      </c>
      <c r="C37" s="5" t="s">
        <v>2079</v>
      </c>
      <c r="D37" s="16" t="n">
        <v>288</v>
      </c>
      <c r="E37" s="25" t="n">
        <v>14.5</v>
      </c>
      <c r="F37" s="16" t="n">
        <v>300</v>
      </c>
      <c r="G37" s="5" t="s">
        <v>2080</v>
      </c>
      <c r="H37" s="16" t="n">
        <v>3456</v>
      </c>
      <c r="I37" s="16" t="n">
        <v>3456</v>
      </c>
      <c r="K37" s="5" t="s">
        <v>2089</v>
      </c>
    </row>
    <row r="38" customFormat="false" ht="23.85" hidden="false" customHeight="false" outlineLevel="0" collapsed="false">
      <c r="A38" s="5"/>
      <c r="B38" s="5" t="s">
        <v>2034</v>
      </c>
      <c r="C38" s="5" t="s">
        <v>2090</v>
      </c>
      <c r="D38" s="16" t="n">
        <v>80</v>
      </c>
      <c r="E38" s="25" t="n">
        <v>19.8</v>
      </c>
      <c r="F38" s="16" t="n">
        <v>300</v>
      </c>
      <c r="G38" s="5" t="s">
        <v>2080</v>
      </c>
      <c r="H38" s="16" t="n">
        <v>960</v>
      </c>
      <c r="I38" s="16" t="n">
        <v>960</v>
      </c>
      <c r="K38" s="5" t="s">
        <v>2091</v>
      </c>
    </row>
    <row r="39" customFormat="false" ht="23.85" hidden="false" customHeight="false" outlineLevel="0" collapsed="false">
      <c r="A39" s="5"/>
      <c r="B39" s="5" t="s">
        <v>2038</v>
      </c>
      <c r="C39" s="5" t="s">
        <v>2092</v>
      </c>
      <c r="D39" s="16" t="n">
        <v>36</v>
      </c>
      <c r="E39" s="25" t="n">
        <v>18.1</v>
      </c>
      <c r="F39" s="16" t="n">
        <v>300</v>
      </c>
      <c r="G39" s="5" t="s">
        <v>2080</v>
      </c>
      <c r="H39" s="16" t="n">
        <v>432</v>
      </c>
      <c r="I39" s="16" t="n">
        <v>432</v>
      </c>
      <c r="K39" s="5" t="s">
        <v>2093</v>
      </c>
    </row>
    <row r="40" customFormat="false" ht="23.85" hidden="false" customHeight="false" outlineLevel="0" collapsed="false">
      <c r="A40" s="11"/>
      <c r="B40" s="11" t="s">
        <v>2042</v>
      </c>
      <c r="C40" s="11" t="s">
        <v>2094</v>
      </c>
      <c r="D40" s="12" t="n">
        <v>21</v>
      </c>
      <c r="E40" s="26" t="n">
        <v>17.9</v>
      </c>
      <c r="F40" s="12" t="n">
        <v>300</v>
      </c>
      <c r="G40" s="11" t="s">
        <v>2080</v>
      </c>
      <c r="H40" s="12" t="n">
        <v>252</v>
      </c>
      <c r="I40" s="12" t="n">
        <v>252</v>
      </c>
      <c r="K40" s="5" t="s">
        <v>2095</v>
      </c>
    </row>
    <row r="41" customFormat="false" ht="23.85" hidden="false" customHeight="false" outlineLevel="0" collapsed="false">
      <c r="A41" s="7" t="s">
        <v>2096</v>
      </c>
      <c r="B41" s="5" t="s">
        <v>2030</v>
      </c>
      <c r="C41" s="5" t="s">
        <v>2097</v>
      </c>
      <c r="D41" s="16" t="n">
        <v>100</v>
      </c>
      <c r="E41" s="25" t="n">
        <v>8</v>
      </c>
      <c r="F41" s="16" t="n">
        <v>300</v>
      </c>
      <c r="G41" s="5" t="s">
        <v>2080</v>
      </c>
      <c r="H41" s="16" t="n">
        <v>1200</v>
      </c>
      <c r="I41" s="16" t="n">
        <v>1200</v>
      </c>
      <c r="K41" s="5" t="s">
        <v>2098</v>
      </c>
    </row>
    <row r="42" customFormat="false" ht="23.85" hidden="false" customHeight="false" outlineLevel="0" collapsed="false">
      <c r="A42" s="5"/>
      <c r="B42" s="5" t="s">
        <v>2034</v>
      </c>
      <c r="C42" s="5" t="s">
        <v>2097</v>
      </c>
      <c r="D42" s="16" t="n">
        <v>40</v>
      </c>
      <c r="E42" s="25" t="n">
        <v>13.5</v>
      </c>
      <c r="F42" s="16" t="n">
        <v>300</v>
      </c>
      <c r="G42" s="5" t="s">
        <v>2080</v>
      </c>
      <c r="H42" s="16" t="n">
        <v>480</v>
      </c>
      <c r="I42" s="16" t="n">
        <v>480</v>
      </c>
      <c r="K42" s="5" t="s">
        <v>2099</v>
      </c>
    </row>
    <row r="43" customFormat="false" ht="23.85" hidden="false" customHeight="false" outlineLevel="0" collapsed="false">
      <c r="A43" s="5"/>
      <c r="B43" s="5" t="s">
        <v>2038</v>
      </c>
      <c r="C43" s="5" t="s">
        <v>2097</v>
      </c>
      <c r="D43" s="16" t="n">
        <v>30</v>
      </c>
      <c r="E43" s="25" t="n">
        <v>18.8</v>
      </c>
      <c r="F43" s="16" t="n">
        <v>300</v>
      </c>
      <c r="G43" s="5" t="s">
        <v>2080</v>
      </c>
      <c r="H43" s="16" t="n">
        <v>360</v>
      </c>
      <c r="I43" s="16" t="n">
        <v>360</v>
      </c>
      <c r="K43" s="5" t="s">
        <v>2100</v>
      </c>
    </row>
    <row r="44" customFormat="false" ht="23.85" hidden="false" customHeight="false" outlineLevel="0" collapsed="false">
      <c r="A44" s="11"/>
      <c r="B44" s="11" t="s">
        <v>2042</v>
      </c>
      <c r="C44" s="11" t="s">
        <v>2097</v>
      </c>
      <c r="D44" s="12" t="n">
        <v>19</v>
      </c>
      <c r="E44" s="26" t="n">
        <v>19.9</v>
      </c>
      <c r="F44" s="12" t="n">
        <v>300</v>
      </c>
      <c r="G44" s="11" t="s">
        <v>2080</v>
      </c>
      <c r="H44" s="12" t="n">
        <v>228</v>
      </c>
      <c r="I44" s="12" t="n">
        <v>228</v>
      </c>
      <c r="K44" s="5" t="s">
        <v>2101</v>
      </c>
    </row>
    <row r="46" customFormat="false" ht="32.8" hidden="false" customHeight="false" outlineLevel="0" collapsed="false">
      <c r="A46" s="24" t="s">
        <v>2102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2026-10-25T02:08:40Z</dcterms:created>
  <dc:creator>openpyxl</dc:creator>
  <dc:description/>
  <dc:language>en-US</dc:language>
  <cp:lastModifiedBy/>
  <dcterms:modified xsi:type="dcterms:W3CDTF">2026-10-25T02:08:42Z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