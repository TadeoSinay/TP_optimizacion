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Compartidos" sheetId="2" state="visible" r:id="rId4"/>
    <sheet name="Manuales" sheetId="3" state="visible" r:id="rId5"/>
    <sheet name="Carros" sheetId="4" state="visible" r:id="rId6"/>
    <sheet name="Recargas" sheetId="5" state="visible" r:id="rId7"/>
    <sheet name="Pulmones" sheetId="6" state="visible" r:id="rId8"/>
    <sheet name="Estantes y carro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<sst xmlns="http://schemas.openxmlformats.org/spreadsheetml/2006/main" count="1182" uniqueCount="698">
  <si>
    <t xml:space="preserve">RESUMEN — huella de lo que va en cada puesto (sin circulación)</t>
  </si>
  <si>
    <t xml:space="preserve">Suma de las huellas con medida. Los ítems en rojo sin medida no suman: el total crece cuando se completan.</t>
  </si>
  <si>
    <t xml:space="preserve">Puesto</t>
  </si>
  <si>
    <t xml:space="preserve">Huella de lo que va adentro (m²)</t>
  </si>
  <si>
    <t xml:space="preserve">MANUALES</t>
  </si>
  <si>
    <t xml:space="preserve">4. Corte de disco y embutido (cúpula y fondo) · 1 máq. · 2 turnos</t>
  </si>
  <si>
    <t xml:space="preserve">5. Preparación de cuello · 2 máq. · 2 turnos</t>
  </si>
  <si>
    <t xml:space="preserve">7. Soldadura del cuello a la cúpula · 1 máq. · 2 turnos</t>
  </si>
  <si>
    <t xml:space="preserve">8. Cilindrado · 1 máq. · 1 turno</t>
  </si>
  <si>
    <t xml:space="preserve">9. Soldadura longitudinal — 2,5 a 10 kg · 1 máq. · 2 turnos</t>
  </si>
  <si>
    <t xml:space="preserve">10. Soldadura longitudinal TIG — 1 kg · 1 máq. · 2 turnos</t>
  </si>
  <si>
    <t xml:space="preserve">11. Encastre de fondo · 1 máq. · 2 turnos</t>
  </si>
  <si>
    <t xml:space="preserve">12. Bordoneado · 1 máq. · 2 turnos</t>
  </si>
  <si>
    <t xml:space="preserve">13. Soldadura circunferencial de cúpula y fondo · 2 máq. · 2 turnos</t>
  </si>
  <si>
    <t xml:space="preserve">14. Control de calidad — Espesor · 1 máq. · 1 turno</t>
  </si>
  <si>
    <t xml:space="preserve">17. Granallado · 1 máq. · 2 turnos</t>
  </si>
  <si>
    <t xml:space="preserve">18. Detección de defectos · 1 máq. · 2 turnos</t>
  </si>
  <si>
    <t xml:space="preserve">19. Corrección de defectos · 1 máq. · 1 turno</t>
  </si>
  <si>
    <t xml:space="preserve">20. Pintura en polvo + horno · 1 máq. · 2 turnos</t>
  </si>
  <si>
    <t xml:space="preserve">21. Carga de polvo · 1 máq. · 1 turno</t>
  </si>
  <si>
    <t xml:space="preserve">22. Ensamblaje · 1 máq. · 2 turnos</t>
  </si>
  <si>
    <t xml:space="preserve">23. Presurización · 1 máq. · 1 turno</t>
  </si>
  <si>
    <t xml:space="preserve">24. Control de calidad — Ensayo de pérdidas · 1 máq. · 1 turno</t>
  </si>
  <si>
    <t xml:space="preserve">25. Etiquetado · 1 máq. · 1 turno</t>
  </si>
  <si>
    <t xml:space="preserve">26. Embalaje y paletizado · 2 máq. · 2 turnos</t>
  </si>
  <si>
    <t xml:space="preserve">Total Manuales</t>
  </si>
  <si>
    <t xml:space="preserve">CARROS</t>
  </si>
  <si>
    <t xml:space="preserve">3. Cilindrado · 1 máq. · 1 turno</t>
  </si>
  <si>
    <t xml:space="preserve">4. Punteo del cuerpo · 1 máq. · 1 turno</t>
  </si>
  <si>
    <t xml:space="preserve">5. Soldadura longitudinal · 1 máq. · 1 turno</t>
  </si>
  <si>
    <t xml:space="preserve">6. Soldadura de cupla en la cúpula · 1 máq. · 1 turno</t>
  </si>
  <si>
    <t xml:space="preserve">7. Armado y soldadura circunferencial · 1 máq. · 1 turno</t>
  </si>
  <si>
    <t xml:space="preserve">8. Soldadura de accesorios · 1 máq. · 1 turno</t>
  </si>
  <si>
    <t xml:space="preserve">8.1. Fabricación de accesorios · 1 máq. · 1 turno</t>
  </si>
  <si>
    <t xml:space="preserve">11. Pulmón de despacho y carga a pintura · 1 máq. · 1 turno</t>
  </si>
  <si>
    <t xml:space="preserve">12. Recepción de pintados y cambio de juego · 1 máq. · 1 turno</t>
  </si>
  <si>
    <t xml:space="preserve">13 B. Carga de polvo y presurización · 1 máq. · 1 turno</t>
  </si>
  <si>
    <t xml:space="preserve">13 A-C / 15. Montaje, manga, precinto y etiquetado · 1 máq. · 1 turno</t>
  </si>
  <si>
    <t xml:space="preserve">14-17. Calidad: pérdidas, inspección final, liberación y ensayos de lote · 1 máq. · 1 turno</t>
  </si>
  <si>
    <t xml:space="preserve">Total Carros</t>
  </si>
  <si>
    <t xml:space="preserve">RECARGAS</t>
  </si>
  <si>
    <t xml:space="preserve">R1. Recepción y registro · 2 máq. · 1 turno</t>
  </si>
  <si>
    <t xml:space="preserve">R2. Inspección visual · 2 máq. · 2 turnos</t>
  </si>
  <si>
    <t xml:space="preserve">R3. Descarga ABC — ruta recuperable · 1 máq. · 2 turnos</t>
  </si>
  <si>
    <t xml:space="preserve">R4. Descarga a descarte (ABC, BC y Clase D) · 1 máq. · 1 turno</t>
  </si>
  <si>
    <t xml:space="preserve">R5. Descarga y carga de agua / AFFF / sales K · 1 máq. · 1 turno</t>
  </si>
  <si>
    <t xml:space="preserve">R6. Recuperación y carga de CO₂ · 1 máq. · 1 turno</t>
  </si>
  <si>
    <t xml:space="preserve">R7. Recuperación y carga de halogenado · 1 máq. · 1 turno</t>
  </si>
  <si>
    <t xml:space="preserve">R8. Desarme y limpieza — recinto · 2 máq. · 2 turnos</t>
  </si>
  <si>
    <t xml:space="preserve">R9. Desarme e inspección interior — zona general · 1 máq. · 1 turno</t>
  </si>
  <si>
    <t xml:space="preserve">R10. Laboratorio — Puffer y mufla · 1 máq. · 1 turno</t>
  </si>
  <si>
    <t xml:space="preserve">R11. Prueba hidráulica · 1 máq. · 2 turnos</t>
  </si>
  <si>
    <t xml:space="preserve">R12. Secado · 1 máq. · 2 turnos</t>
  </si>
  <si>
    <t xml:space="preserve">R13. Inspección interior con videoscopio · 1 máq. · 1 turno</t>
  </si>
  <si>
    <t xml:space="preserve">R14. Pintura · 2 máq. · 2 turnos</t>
  </si>
  <si>
    <t xml:space="preserve">R15. Carga de polvo ABC, BC y Clase D · 2 máq. · 2 turnos</t>
  </si>
  <si>
    <t xml:space="preserve">R16. Ensamblaje y marbete — recinto · 2 máq. · 2 turnos</t>
  </si>
  <si>
    <t xml:space="preserve">R17. Presurización — recinto · 1 máq. · 2 turnos</t>
  </si>
  <si>
    <t xml:space="preserve">R18. Ensamblaje y presurización — zona general · 1 máq. · 1 turno</t>
  </si>
  <si>
    <t xml:space="preserve">R19. Control de peso (CO₂ y halogenados sin recarga) · 1 máq. · 1 turno</t>
  </si>
  <si>
    <t xml:space="preserve">R20. Ensayo de pérdidas · 2 máq. · 1 turno</t>
  </si>
  <si>
    <t xml:space="preserve">R21. Precinto, etiqueta y despacho · 2 máq. · 2 turnos</t>
  </si>
  <si>
    <t xml:space="preserve">R22. Inutilización y disposición final · 1 máq. · 1 turno</t>
  </si>
  <si>
    <t xml:space="preserve">R23. PH de mangueras (CO₂ y rodantes) · 1 máq. · 1 turno</t>
  </si>
  <si>
    <t xml:space="preserve">PULMONES DE ENTRADA Y SALIDA DE RECARGAS</t>
  </si>
  <si>
    <t xml:space="preserve">Total Recargas</t>
  </si>
  <si>
    <t xml:space="preserve">COMPARTIDOS</t>
  </si>
  <si>
    <t xml:space="preserve">CORTE — guillotina 1 (franjas) · Manuales 2 y Carros 2</t>
  </si>
  <si>
    <t xml:space="preserve">CORTE — guillotina 2 (piezas) · Manuales 3 y Carros 2</t>
  </si>
  <si>
    <t xml:space="preserve">MARCADO DEL CUERPO · Manuales 6 y Carros 2.1</t>
  </si>
  <si>
    <t xml:space="preserve">PRUEBA HIDRÁULICA · Manuales 15 y Carros 9</t>
  </si>
  <si>
    <t xml:space="preserve">SECADO · Manuales 16 y Carros 10</t>
  </si>
  <si>
    <t xml:space="preserve">Total Compartidos</t>
  </si>
  <si>
    <t xml:space="preserve">TOTAL SIN ALMACENES</t>
  </si>
  <si>
    <t xml:space="preserve">PUESTOS COMPARTIDOS — los usan manuales y carros</t>
  </si>
  <si>
    <t xml:space="preserve">Gris = puesto y la suma de las huellas de lo que va adentro (sin circulación). Medidas solo de las cotizaciones y de los Excel de Fran (Balanceo y Pulmones). Rojo = no está en esas fuentes.</t>
  </si>
  <si>
    <t xml:space="preserve">Puesto / ítem</t>
  </si>
  <si>
    <t xml:space="preserve">Lo usa</t>
  </si>
  <si>
    <t xml:space="preserve">Cant.</t>
  </si>
  <si>
    <t xml:space="preserve">Ancho (m)</t>
  </si>
  <si>
    <t xml:space="preserve">Largo (m)</t>
  </si>
  <si>
    <t xml:space="preserve">Alto (m)</t>
  </si>
  <si>
    <t xml:space="preserve">Huella (m²)</t>
  </si>
  <si>
    <t xml:space="preserve">Medidas internas / uso</t>
  </si>
  <si>
    <t xml:space="preserve">Fuente</t>
  </si>
  <si>
    <t xml:space="preserve">A confirmar</t>
  </si>
  <si>
    <t xml:space="preserve">Manuales: Balanceo-FLAMA2035 › Carga R35 (máq.) y S35 (turnos) · Carros: Carga M75 (máq.) y N75 (turnos)</t>
  </si>
  <si>
    <t xml:space="preserve">   Guillotina 1 Ermaksan HGS 2600-6</t>
  </si>
  <si>
    <t xml:space="preserve">Los dos</t>
  </si>
  <si>
    <t xml:space="preserve">corte 2.600 mm, chapa hasta 6 mm, 5.000 kg</t>
  </si>
  <si>
    <t xml:space="preserve">Máquina: Balanceo-FLAMA2035 › Lotes A22 · medidas: exapro.com y resale.info n.º 164666861 (ERMAK HGS 2600 × 6: 3.395 × 1.880 × 1.550 mm)</t>
  </si>
  <si>
    <t xml:space="preserve">Medidas de avisos de venta del mismo modelo: confirmar con Ermaksan. Sin el tope trasero</t>
  </si>
  <si>
    <t xml:space="preserve">Manuales: Balanceo-FLAMA2035 › Carga R36 (máq.) y S36 (turnos) · Carros: Carga M75 (máq.) y N75 (turnos)</t>
  </si>
  <si>
    <t xml:space="preserve">   Guillotina 2 QC12Y 6 × 2500</t>
  </si>
  <si>
    <t xml:space="preserve">corte 2.500 mm, chapa hasta 6 mm, 4.800 kg</t>
  </si>
  <si>
    <t xml:space="preserve">Máquina: Balanceo-FLAMA2035 › Lotes A23 · medidas: goldsupplier.com/provide/p106252035.html (QC12Y-6X2500: 3.100 × 1.620 × 1.600 mm)</t>
  </si>
  <si>
    <t xml:space="preserve">Medidas de la ficha del fabricante chino (LIWANG): confirmar con el proveedor. Sin el tope trasero</t>
  </si>
  <si>
    <t xml:space="preserve">   Mesa elevadora 2 = pulmón de franjas</t>
  </si>
  <si>
    <t xml:space="preserve">mesa de tijera 3.000 kg; 0,35 m cerrada, 1,93 m abierta</t>
  </si>
  <si>
    <t xml:space="preserve">Internet: Workplace Products, mesas de tijera de 3.000 kg (2.500 × 1.300 mm) · Balanceo-FLAMA2035 › Parametros B38 (2 hojas) · PULMONES-FLAMA2035 › Pulmones H6 (90 franjas)</t>
  </si>
  <si>
    <t xml:space="preserve">La hoja más grande es de 1.500 × 3.000 (MP-FLAMA2035 › Resumen A24): la plataforma de 2,5 × 1,3 m le queda corta. Confirmar</t>
  </si>
  <si>
    <t xml:space="preserve">   Carro porta-bandejas: desarrollos → marcado del cuerpo</t>
  </si>
  <si>
    <t xml:space="preserve">a confirmar</t>
  </si>
  <si>
    <t xml:space="preserve">3 bandejas 1.200 × 600, hasta 450 kg; espera en el origen</t>
  </si>
  <si>
    <t xml:space="preserve">PULMONES-FLAMA2035 › Parametros A42:B42 (lugar de 1 m² del carro de 1,3 × 0,7 m) y B37 (3 bandejas) · cantidad: Pulmones S7 (¿puede parar el que entrega?: Z7)</t>
  </si>
  <si>
    <t xml:space="preserve">Alto del carro (3 niveles a la altura del estante)</t>
  </si>
  <si>
    <t xml:space="preserve">Manuales: Balanceo-FLAMA2035 › Carga R39 (máq.) y S39 (turnos) · Carros: Carga M76 (máq.) y N76 (turnos)</t>
  </si>
  <si>
    <t xml:space="preserve">   Marcadora</t>
  </si>
  <si>
    <t xml:space="preserve">Firesafer FS-0001 (roll code), 600–700 pzas/h</t>
  </si>
  <si>
    <t xml:space="preserve">Cotización Firesafer (ítem 26, coding machine); medidas del catálogo</t>
  </si>
  <si>
    <t xml:space="preserve">La cotización trae 1. Balanceo: 2 puestos (uno para el 1 kg). Falta definir el método (micropercusión o láser)</t>
  </si>
  <si>
    <t xml:space="preserve">   Estante: desarrollos (pulmón)</t>
  </si>
  <si>
    <t xml:space="preserve">Estante: pilas por modelo sobre bandejas; máx. 1505 u en 15 bandejas o cajones</t>
  </si>
  <si>
    <t xml:space="preserve">PULMONES-FLAMA2035 › Parametros B7 (frente 1.200), B8 (fondo 600) y B9 (alto 2.000) · módulos: Pulmones O7 · máximo: H7 · bandejas: N7</t>
  </si>
  <si>
    <t xml:space="preserve">Manuales: Balanceo-FLAMA2035 › Carga R48 (máq.) y S48 (turnos) · Carros: Carga M84 (máq.) y N84 (turnos)</t>
  </si>
  <si>
    <t xml:space="preserve">   Máquina de PH Yukon M-000200 (manuales)</t>
  </si>
  <si>
    <t xml:space="preserve">sin mesa</t>
  </si>
  <si>
    <t xml:space="preserve">Cotización Yukon (Prueba Hidráulica)</t>
  </si>
  <si>
    <t xml:space="preserve">Falta el alto de la mesa. Alternativa Firesafer FS-0124 2,05 × 1,10 × 1,35</t>
  </si>
  <si>
    <t xml:space="preserve">   Máquina de PH Yukon M-000200 (carros)</t>
  </si>
  <si>
    <t xml:space="preserve">Falta el alto de la mesa</t>
  </si>
  <si>
    <t xml:space="preserve">   Carro porta-bandejas: cilindros mojados → secado</t>
  </si>
  <si>
    <t xml:space="preserve">PULMONES-FLAMA2035 › Parametros A42:B42 (lugar de 1 m² del carro de 1,3 × 0,7 m) y B37 (3 bandejas) · cantidad: Pulmones S17 (¿puede parar el que entrega?: Z17)</t>
  </si>
  <si>
    <t xml:space="preserve">Manuales: Balanceo-FLAMA2035 › Carga R49 (máq.) y S49 (turnos) · Carros: Carga M85 (máq.) y N85 (turnos)</t>
  </si>
  <si>
    <t xml:space="preserve">   Secadora de 4 bocas Firesafer FS-D4 (manuales)</t>
  </si>
  <si>
    <t xml:space="preserve">seca 4 recipientes a la vez</t>
  </si>
  <si>
    <t xml:space="preserve">Catálogo Firesafer de service (FS-D4: 100 × 46,2 × 110 cm)</t>
  </si>
  <si>
    <t xml:space="preserve">No hay cotización de secado; se toma la del catálogo Firesafer. Balanceo pide 4 máquinas: con 4 bocas cada una, confirmar si alcanza con menos</t>
  </si>
  <si>
    <t xml:space="preserve">   Secadora de 4 bocas Firesafer FS-D4 (carros)</t>
  </si>
  <si>
    <t xml:space="preserve">Catálogo Firesafer de service (FS-D4)</t>
  </si>
  <si>
    <t xml:space="preserve">Confirmar que la lanza llegue al fondo de un carro de 100 kg</t>
  </si>
  <si>
    <t xml:space="preserve">   Carro porta-bandejas: cilindros secos → granallado</t>
  </si>
  <si>
    <t xml:space="preserve">PULMONES-FLAMA2035 › Parametros A42:B42 (lugar de 1 m² del carro de 1,3 × 0,7 m) y B37 (3 bandejas) · cantidad: Pulmones S18 (¿puede parar el que entrega?: Z18)</t>
  </si>
  <si>
    <t xml:space="preserve">MANUALES — lo que va dentro de cada puesto</t>
  </si>
  <si>
    <t xml:space="preserve">Balanceo-FLAMA2035 › Carga R37 (máq.) y S37 (turnos)</t>
  </si>
  <si>
    <t xml:space="preserve">   Prensa Sangiacomo</t>
  </si>
  <si>
    <t xml:space="preserve">Sangiacomo T130 R CE: 130 t, mesa 1.200 × 700 mm, 10.000 kg</t>
  </si>
  <si>
    <t xml:space="preserve">Máquina: Balanceo-FLAMA2035 › Lotes A42 · medidas: exapro.com/sp/sangiacomo-t130rce-19888 (1.600 × 1.300 × 3.320 mm)</t>
  </si>
  <si>
    <t xml:space="preserve">Fran no dice el modelo ni el tonelaje: se toma la T130 R. Confirmar modelo</t>
  </si>
  <si>
    <t xml:space="preserve">   Desbobinador CENA TC-400</t>
  </si>
  <si>
    <t xml:space="preserve">fleje hasta 400 mm, rollo hasta Ø 1.200 y 1.500 kg</t>
  </si>
  <si>
    <t xml:space="preserve">Cotización CENA (desbobinador): 1.200 × 1.000 × 1.300 mm</t>
  </si>
  <si>
    <t xml:space="preserve">Elegido por el fleje más ancho (238,7 mm, MP-FLAMA2035 › Resumen A33) y el rollo más pesado (1.181 kg, Resumen B31): el TC-300 llega a 1.000 kg</t>
  </si>
  <si>
    <t xml:space="preserve">   Enderezadora CENA SC-300</t>
  </si>
  <si>
    <t xml:space="preserve">fleje hasta 300 mm y 3 mm</t>
  </si>
  <si>
    <t xml:space="preserve">Cotización CENA (enderezadora): 800 × 550 × 1.300 mm</t>
  </si>
  <si>
    <t xml:space="preserve">Elegida por el fleje más ancho (238,7 mm) y el más grueso (2,0 mm), MP-FLAMA2035 › Resumen A33. El alimentador servo no trae medidas</t>
  </si>
  <si>
    <t xml:space="preserve">   Rack de fondos y cúpulas (supermercado, pulmón)</t>
  </si>
  <si>
    <t xml:space="preserve">vano de 2,7 m × 3 niveles, 3 pallets 1.200 × 800 por nivel; 17 pallets de 12 cajones</t>
  </si>
  <si>
    <t xml:space="preserve">PULMONES-FLAMA2035 › Parametros B56 (vano 2,7 m), B57 (fondo 1,2 m), B54 (3 niveles), B55 (3 pallets por nivel) · vanos: Equipos B12 · pallets: Equipos B13</t>
  </si>
  <si>
    <t xml:space="preserve">Alto del rack (primer nivel a 400 mm, pallet de 1.045 mm de alto)</t>
  </si>
  <si>
    <t xml:space="preserve">   Carro de 12 cajones: fondos</t>
  </si>
  <si>
    <t xml:space="preserve">4 niveles de 3 cajones 600 × 400 × 300</t>
  </si>
  <si>
    <t xml:space="preserve">PULMONES-FLAMA2035 › Parametros B38 (12 cajones en 4 niveles); medidas = carro de A42 (1,3 × 0,7 m) · cantidad: Pulmones S10</t>
  </si>
  <si>
    <t xml:space="preserve">Fran pide confirmar que el carro tenga 4 niveles de 3 cajones; si no, se pide igual al porta-bandejas (1,3 × 0,7 m) con 4 niveles. Alto del carro</t>
  </si>
  <si>
    <t xml:space="preserve">   Carro de 12 cajones: cúpulas</t>
  </si>
  <si>
    <t xml:space="preserve">PULMONES-FLAMA2035 › Parametros B38 (12 cajones en 4 niveles); medidas = carro de A42 (1,3 × 0,7 m) · cantidad: Pulmones S11</t>
  </si>
  <si>
    <t xml:space="preserve">Balanceo-FLAMA2035 › Carga R38 (máq.) y S38 (turnos)</t>
  </si>
  <si>
    <t xml:space="preserve">   Prensa de muesca del cuello</t>
  </si>
  <si>
    <t xml:space="preserve">No hay cotización en la carpeta para este puesto</t>
  </si>
  <si>
    <t xml:space="preserve">Balanceo-FLAMA2035 › Carga R40 (máq.) y S40 (turnos)</t>
  </si>
  <si>
    <t xml:space="preserve">   Soldadora de cuello</t>
  </si>
  <si>
    <t xml:space="preserve">Firesafer FS-HPM: plato divisor, 12 pzas/min</t>
  </si>
  <si>
    <t xml:space="preserve">Catálogo Firesafer (FS Cylinder Production)</t>
  </si>
  <si>
    <t xml:space="preserve">Está en el catálogo pero no en la cotización Firesafer. Confirmar el modelo</t>
  </si>
  <si>
    <t xml:space="preserve">   Estante: cúpulas (pulmón)</t>
  </si>
  <si>
    <t xml:space="preserve">Rack de pallets al lado de la prensa (la tanda) + estante en el puesto con la ola de mañana; máx. 6765 u en 80 bandejas o cajones</t>
  </si>
  <si>
    <t xml:space="preserve">PULMONES-FLAMA2035 › Parametros B7 (frente 1.200), B8 (fondo 600) y B9 (alto 2.000) · módulos: Pulmones O11 · máximo: H11 · bandejas: N11</t>
  </si>
  <si>
    <t xml:space="preserve">   Carro de 12 cajones: cúpulas con cuello</t>
  </si>
  <si>
    <t xml:space="preserve">PULMONES-FLAMA2035 › Parametros B38 (12 cajones en 4 niveles); medidas = carro de A42 (1,3 × 0,7 m) · cantidad: Pulmones S13</t>
  </si>
  <si>
    <t xml:space="preserve">Balanceo-FLAMA2035 › Carga R41 (máq.) y S41 (turnos)</t>
  </si>
  <si>
    <t xml:space="preserve">   Roladora (cilindradora de manuales)</t>
  </si>
  <si>
    <t xml:space="preserve">Firesafer FS-PM01: Ø 50–163 mm, 10 pzas/min</t>
  </si>
  <si>
    <t xml:space="preserve">Catálogo Firesafer (FS Cylinder Production); la cotización Firesafer cotiza 2 roladoras</t>
  </si>
  <si>
    <t xml:space="preserve">Hay 4 opciones: Firesafer FS-PM01 1,80 × 1,30 × 1,25 · Bästlein AK-BEND AS 70-10 1,70 × 0,70 × 1,10 · WMT OSTAS SM 700 × 76 1,30 × 0,80 × 1,30 · Getweld 2 rodillos (sin medidas). Se pone la más grande. Balanceo: 1 máquina; en Rueda se toman 2 (roladora propia del 1 kg)</t>
  </si>
  <si>
    <t xml:space="preserve">   Carro porta-bandejas: virolas → soldadura longitudinal</t>
  </si>
  <si>
    <t xml:space="preserve">PULMONES-FLAMA2035 › Parametros A42:B42 (lugar de 1 m² del carro de 1,3 × 0,7 m) y B37 (3 bandejas) · cantidad: Pulmones S8 (¿puede parar el que entrega?: Z8)</t>
  </si>
  <si>
    <t xml:space="preserve">Balanceo-FLAMA2035 › Carga R42 (máq.) y S42 (turnos)</t>
  </si>
  <si>
    <t xml:space="preserve">   Soldadora longitudinal 2,5 a 10 kg</t>
  </si>
  <si>
    <t xml:space="preserve">MIG, largo de soldadura hasta 500 mm (Getweld ZF-500)</t>
  </si>
  <si>
    <t xml:space="preserve">Cotización Getweld ZF-500; medidas: china.org.ru/product/1607235162 (ZF-500: 1.320, 1.000, 1.800 mm)</t>
  </si>
  <si>
    <t xml:space="preserve">La cotización no da medidas. La ficha de internet no rotula las columnas: confirmar largo × ancho × alto con Getweld</t>
  </si>
  <si>
    <t xml:space="preserve">   Estante: virolas (pulmón)</t>
  </si>
  <si>
    <t xml:space="preserve">Estante: parados en bandejas, un modelo por bandeja; máx. 607 u en 20 bandejas o cajones</t>
  </si>
  <si>
    <t xml:space="preserve">PULMONES-FLAMA2035 › Parametros B7 (frente 1.200), B8 (fondo 600) y B9 (alto 2.000) · módulos: Pulmones O8 · máximo: H8 · bandejas: N8</t>
  </si>
  <si>
    <t xml:space="preserve">   Carro porta-bandejas: cuerpos soldados → encastre de fondo</t>
  </si>
  <si>
    <t xml:space="preserve">PULMONES-FLAMA2035 › Parametros A42:B42 (lugar de 1 m² del carro de 1,3 × 0,7 m) y B37 (3 bandejas) · cantidad: Pulmones S9 (¿puede parar el que entrega?: Z9)</t>
  </si>
  <si>
    <t xml:space="preserve">Pulmones da 2; propuesta 1 + soporte fijo para la bandeja en llenado (con tandas no hace falta el segundo). alto del carro (3 niveles a la altura del estante)</t>
  </si>
  <si>
    <t xml:space="preserve">Balanceo-FLAMA2035 › Carga R43 (máq.) y S43 (turnos)</t>
  </si>
  <si>
    <t xml:space="preserve">   Soldadora longitudinal TIG 1 kg</t>
  </si>
  <si>
    <t xml:space="preserve">equivalente: soldadora longitudinal ZF-500</t>
  </si>
  <si>
    <t xml:space="preserve">Cotización Firesafer (TIG); medidas: china.org.ru/product/1607235162</t>
  </si>
  <si>
    <t xml:space="preserve">Firesafer no da medidas; se toma la misma longitudinal ZF-500. Confirmar</t>
  </si>
  <si>
    <t xml:space="preserve">Balanceo-FLAMA2035 › Carga R44 (máq.) y S44 (turnos)</t>
  </si>
  <si>
    <t xml:space="preserve">   Prensa de encastre de fondo 30 t</t>
  </si>
  <si>
    <t xml:space="preserve">equivalente: prensa de taller motorizada 30 t Promac 30-TON-MH2</t>
  </si>
  <si>
    <t xml:space="preserve">Internet: ficha Promac 30-TON-MH2 (2.120 × 1.315 × 805 mm)</t>
  </si>
  <si>
    <t xml:space="preserve">La cotización (Del Fabro 30 t) es solo un link que no carga. La ficha no dice qué medida es cada eje: se toma el alto 2,12 m</t>
  </si>
  <si>
    <t xml:space="preserve">   Estante: cuerpos soldados (pulmón)</t>
  </si>
  <si>
    <t xml:space="preserve">Estante: parados en bandejas, un modelo por bandeja; máx. 405 u en 10 bandejas o cajones</t>
  </si>
  <si>
    <t xml:space="preserve">PULMONES-FLAMA2035 › Parametros B7 (frente 1.200), B8 (fondo 600) y B9 (alto 2.000) · módulos: Pulmones O9 · máximo: H9 · bandejas: N9</t>
  </si>
  <si>
    <t xml:space="preserve">   Estante: fondos (pulmón)</t>
  </si>
  <si>
    <t xml:space="preserve">Rack de pallets al lado de la prensa (la tanda) + estante en el puesto con la ola de mañana; máx. 6609 u en 65 bandejas o cajones</t>
  </si>
  <si>
    <t xml:space="preserve">PULMONES-FLAMA2035 › Parametros B7 (frente 1.200), B8 (fondo 600) y B9 (alto 2.000) · módulos: Pulmones O10 · máximo: H10 · bandejas: N10</t>
  </si>
  <si>
    <t xml:space="preserve">   Carro porta-bandejas: cuerpos con fondo → bordoneado</t>
  </si>
  <si>
    <t xml:space="preserve">PULMONES-FLAMA2035 › Parametros A42:B42 (lugar de 1 m² del carro de 1,3 × 0,7 m) y B37 (3 bandejas) · cantidad: Pulmones S14 (¿puede parar el que entrega?: Z14)</t>
  </si>
  <si>
    <t xml:space="preserve">Balanceo-FLAMA2035 › Carga R45 (máq.) y S45 (turnos)</t>
  </si>
  <si>
    <t xml:space="preserve">   Bordoneadora</t>
  </si>
  <si>
    <t xml:space="preserve">equivalente: bordoneadora motorizada AK-BEND AKM 250 (2,5 mm)</t>
  </si>
  <si>
    <t xml:space="preserve">Internet: resale.info n.º 165720938 (AKM 250: 1,2 × 0,7 × 1,2 m)</t>
  </si>
  <si>
    <t xml:space="preserve">Las cotizaciones Prinzing SME 80/3P y Pilman SWM-400 no dan medidas y no se encontraron en internet</t>
  </si>
  <si>
    <t xml:space="preserve">   Carro porta-bandejas: cuerpos bordoneados → soldadura circunferencial de cúpula y fondo</t>
  </si>
  <si>
    <t xml:space="preserve">PULMONES-FLAMA2035 › Parametros A42:B42 (lugar de 1 m² del carro de 1,3 × 0,7 m) y B37 (3 bandejas) · cantidad: Pulmones S15 (¿puede parar el que entrega?: Z15)</t>
  </si>
  <si>
    <t xml:space="preserve">Balanceo-FLAMA2035 › Carga R46 (máq.) y S46 (turnos)</t>
  </si>
  <si>
    <t xml:space="preserve">   Soldadora circunferencial</t>
  </si>
  <si>
    <t xml:space="preserve">Getweld ZNC250X2: Ø &lt; 250 mm, 340 pzas/8 h</t>
  </si>
  <si>
    <t xml:space="preserve">Cotizaciones Getweld ZNC250X2, SC Welding PRO-WP150 y Firesafer</t>
  </si>
  <si>
    <t xml:space="preserve">Ninguna cotización de la carpeta da medidas y no se encontraron en internet. PRO-WP150: plato Ø 450 mm</t>
  </si>
  <si>
    <t xml:space="preserve">   Estante: cúpulas con cuello (pulmón)</t>
  </si>
  <si>
    <t xml:space="preserve">Estante de cajones al pie de la soldadura circunferencial; máx. 407 u en 9 bandejas o cajones</t>
  </si>
  <si>
    <t xml:space="preserve">PULMONES-FLAMA2035 › Parametros B7 (frente 1.200), B8 (fondo 600) y B9 (alto 2.000) · módulos: Pulmones O13 · máximo: H13 · bandejas: N13</t>
  </si>
  <si>
    <t xml:space="preserve">   Estante: cuerpos bordoneados (pulmón)</t>
  </si>
  <si>
    <t xml:space="preserve">Estante: parados en bandejas, un modelo por bandeja; máx. 691 u en 21 bandejas o cajones</t>
  </si>
  <si>
    <t xml:space="preserve">PULMONES-FLAMA2035 › Parametros B7 (frente 1.200), B8 (fondo 600) y B9 (alto 2.000) · módulos: Pulmones O15 · máximo: H15 · bandejas: N15</t>
  </si>
  <si>
    <t xml:space="preserve">   Carro porta-bandejas: cilindros soldados → prueba hidráulica</t>
  </si>
  <si>
    <t xml:space="preserve">PULMONES-FLAMA2035 › Parametros A42:B42 (lugar de 1 m² del carro de 1,3 × 0,7 m) y B37 (3 bandejas) · cantidad: Pulmones S16 (¿puede parar el que entrega?: Z16)</t>
  </si>
  <si>
    <t xml:space="preserve">Balanceo-FLAMA2035 › Carga R47 (máq.) y S47 (turnos)</t>
  </si>
  <si>
    <t xml:space="preserve">   Medidor de espesores</t>
  </si>
  <si>
    <t xml:space="preserve">Balanceo-FLAMA2035 › Carga R50 (máq.) y S50 (turnos)</t>
  </si>
  <si>
    <t xml:space="preserve">   Granalladora AirBlast G-100</t>
  </si>
  <si>
    <t xml:space="preserve">Cotización AirBlast (memoria descriptiva)</t>
  </si>
  <si>
    <t xml:space="preserve">Alternativa CyM ECO 100 sin medidas</t>
  </si>
  <si>
    <t xml:space="preserve">   Carro porta-bandejas: cilindros granallados → pintura en polvo + horno</t>
  </si>
  <si>
    <t xml:space="preserve">PULMONES-FLAMA2035 › Parametros A42:B42 (lugar de 1 m² del carro de 1,3 × 0,7 m) y B37 (3 bandejas) · cantidad: Pulmones S19 (¿puede parar el que entrega?: Z19)</t>
  </si>
  <si>
    <t xml:space="preserve">Balanceo-FLAMA2035 › Carga R51 (máq.) y S51 (turnos)</t>
  </si>
  <si>
    <t xml:space="preserve">   Puesto de detección de defectos</t>
  </si>
  <si>
    <t xml:space="preserve">Balanceo-FLAMA2035 › Carga R52 (máq.) y S52 (turnos)</t>
  </si>
  <si>
    <t xml:space="preserve">   Puesto de corrección de defectos</t>
  </si>
  <si>
    <t xml:space="preserve">Cotización Firesafer (sanding machine)</t>
  </si>
  <si>
    <t xml:space="preserve">Ninguna cotización de la carpeta da medidas</t>
  </si>
  <si>
    <t xml:space="preserve">Balanceo-FLAMA2035 › Carga R53 (máq.) y S53 (turnos)</t>
  </si>
  <si>
    <t xml:space="preserve">   Horno (precalentamiento y curado)</t>
  </si>
  <si>
    <t xml:space="preserve">panelizado con lana de roca 50 mm, a gas</t>
  </si>
  <si>
    <t xml:space="preserve">Cotización de pintura (Electricolor)</t>
  </si>
  <si>
    <t xml:space="preserve">Alternativas: línea Firesafer (sin medidas) o Prymax tercerizado</t>
  </si>
  <si>
    <t xml:space="preserve">   Cabina de pintura</t>
  </si>
  <si>
    <t xml:space="preserve">con 2 reciprocadores de 1.300 mm y 2 ciclones</t>
  </si>
  <si>
    <t xml:space="preserve">Reciprocadores y ciclones sin medidas</t>
  </si>
  <si>
    <t xml:space="preserve">   Estante: cilindros granallados (pulmón)</t>
  </si>
  <si>
    <t xml:space="preserve">Estante: parados en bandejas, un modelo por bandeja; máx. 488 u en 7 bandejas o cajones</t>
  </si>
  <si>
    <t xml:space="preserve">PULMONES-FLAMA2035 › Parametros B7 (frente 1.200), B8 (fondo 600) y B9 (alto 2.000) · módulos: Pulmones O19 · máximo: H19 · bandejas: N19</t>
  </si>
  <si>
    <t xml:space="preserve">   Carro porta-bandejas: cilindros vacíos pintados → embalaje y paletizado</t>
  </si>
  <si>
    <t xml:space="preserve">PULMONES-FLAMA2035 › Parametros A42:B42 (lugar de 1 m² del carro de 1,3 × 0,7 m) y B37 (3 bandejas) · cantidad: Pulmones S20 (¿puede parar el que entrega?: Z20)</t>
  </si>
  <si>
    <t xml:space="preserve">   Carro porta-bandejas: cilindros pintados para cargar → carga de polvo</t>
  </si>
  <si>
    <t xml:space="preserve">PULMONES-FLAMA2035 › Parametros A42:B42 (lugar de 1 m² del carro de 1,3 × 0,7 m) y B37 (3 bandejas) · cantidad: Pulmones S21 (¿puede parar el que entrega?: Z21)</t>
  </si>
  <si>
    <t xml:space="preserve">Balanceo-FLAMA2035 › Carga R54 (máq.) y S54 (turnos)</t>
  </si>
  <si>
    <t xml:space="preserve">   Cargadora de polvo Yukon M-000121</t>
  </si>
  <si>
    <t xml:space="preserve">Cotización Yukon (Máquina de llenado)</t>
  </si>
  <si>
    <t xml:space="preserve">Alternativa Firesafer FS-A10 sin medidas</t>
  </si>
  <si>
    <t xml:space="preserve">   Estante: cilindros pintados para cargar (pulmón)</t>
  </si>
  <si>
    <t xml:space="preserve">Estante: parados en bandejas, un modelo por bandeja; máx. 330 u en 11 bandejas o cajones</t>
  </si>
  <si>
    <t xml:space="preserve">PULMONES-FLAMA2035 › Parametros B7 (frente 1.200), B8 (fondo 600) y B9 (alto 2.000) · módulos: Pulmones O21 · máximo: H21 · bandejas: N21</t>
  </si>
  <si>
    <t xml:space="preserve">   Carro porta-bandejas: cilindros cargados de polvo → ensamblaje</t>
  </si>
  <si>
    <t xml:space="preserve">PULMONES-FLAMA2035 › Parametros A42:B42 (lugar de 1 m² del carro de 1,3 × 0,7 m) y B37 (3 bandejas) · cantidad: Pulmones S22 (¿puede parar el que entrega?: Z22)</t>
  </si>
  <si>
    <t xml:space="preserve">Balanceo-FLAMA2035 › Carga R55 (máq.) y S55 (turnos)</t>
  </si>
  <si>
    <t xml:space="preserve">   Roscadora de manómetro y tubo Firesafer FS-NGNP</t>
  </si>
  <si>
    <t xml:space="preserve">Cotización Firesafer (ítem 34); medidas del catálogo Filling Line</t>
  </si>
  <si>
    <t xml:space="preserve">   Estante: cilindros cargados de polvo (pulmón)</t>
  </si>
  <si>
    <t xml:space="preserve">Estante: parados en bandejas, un modelo por bandeja; máx. 183 u en 9 bandejas o cajones</t>
  </si>
  <si>
    <t xml:space="preserve">PULMONES-FLAMA2035 › Parametros B7 (frente 1.200), B8 (fondo 600) y B9 (alto 2.000) · módulos: Pulmones O22 · máximo: H22 · bandejas: N22</t>
  </si>
  <si>
    <t xml:space="preserve">   Carro porta-bandejas: matafuegos armados → presurización</t>
  </si>
  <si>
    <t xml:space="preserve">PULMONES-FLAMA2035 › Parametros A42:B42 (lugar de 1 m² del carro de 1,3 × 0,7 m) y B37 (3 bandejas) · cantidad: Pulmones S23 (¿puede parar el que entrega?: Z23)</t>
  </si>
  <si>
    <t xml:space="preserve">Balanceo-FLAMA2035 › Carga R56 (máq.) y S56 (turnos)</t>
  </si>
  <si>
    <t xml:space="preserve">   Pinza de presurización Yukon M-000150</t>
  </si>
  <si>
    <t xml:space="preserve">neumática, 2 kg</t>
  </si>
  <si>
    <t xml:space="preserve">Cotización Yukon (Presurización)</t>
  </si>
  <si>
    <t xml:space="preserve">Va sobre un soporte: medidas del soporte</t>
  </si>
  <si>
    <t xml:space="preserve">   Estante: matafuegos armados (pulmón)</t>
  </si>
  <si>
    <t xml:space="preserve">Estante: parados en bandejas, un modelo por bandeja; máx. 168 u en 7 bandejas o cajones</t>
  </si>
  <si>
    <t xml:space="preserve">PULMONES-FLAMA2035 › Parametros B7 (frente 1.200), B8 (fondo 600) y B9 (alto 2.000) · módulos: Pulmones O23 · máximo: H23 · bandejas: N23</t>
  </si>
  <si>
    <t xml:space="preserve">   Carro porta-bandejas: matafuegos presurizados → control de calidad</t>
  </si>
  <si>
    <t xml:space="preserve">PULMONES-FLAMA2035 › Parametros A42:B42 (lugar de 1 m² del carro de 1,3 × 0,7 m) y B37 (3 bandejas) · cantidad: Pulmones S24 (¿puede parar el que entrega?: Z24)</t>
  </si>
  <si>
    <t xml:space="preserve">Balanceo-FLAMA2035 › Carga R57 (máq.) y S57 (turnos)</t>
  </si>
  <si>
    <t xml:space="preserve">   Tanque de ensayo de pérdidas Firesafer FS-SS100</t>
  </si>
  <si>
    <t xml:space="preserve">30–40 piezas por tanda</t>
  </si>
  <si>
    <t xml:space="preserve">Catálogo Firesafer (Filling Line)</t>
  </si>
  <si>
    <t xml:space="preserve">La cotización Firesafer dice que el tanque no está incluido</t>
  </si>
  <si>
    <t xml:space="preserve">   Estante: matafuegos presurizados (pulmón)</t>
  </si>
  <si>
    <t xml:space="preserve">Estante: parados en bandejas, un modelo por bandeja; máx. 161 u en 3 bandejas o cajones</t>
  </si>
  <si>
    <t xml:space="preserve">PULMONES-FLAMA2035 › Parametros B7 (frente 1.200), B8 (fondo 600) y B9 (alto 2.000) · módulos: Pulmones O24 · máximo: H24 · bandejas: N24</t>
  </si>
  <si>
    <t xml:space="preserve">   Carro porta-bandejas: matafuegos ensayados → etiquetado</t>
  </si>
  <si>
    <t xml:space="preserve">PULMONES-FLAMA2035 › Parametros A42:B42 (lugar de 1 m² del carro de 1,3 × 0,7 m) y B37 (3 bandejas) · cantidad: Pulmones S25 (¿puede parar el que entrega?: Z25)</t>
  </si>
  <si>
    <t xml:space="preserve">Balanceo-FLAMA2035 › Carga R58 (máq.) y S58 (turnos)</t>
  </si>
  <si>
    <t xml:space="preserve">   Etiquetadora semiautomática</t>
  </si>
  <si>
    <t xml:space="preserve">equivalente: etiquetadora semiautomática para envases redondos</t>
  </si>
  <si>
    <t xml:space="preserve">Internet: etiquetadora semiautomática Sammi (650 × 450 × 450 mm, 35 kg)</t>
  </si>
  <si>
    <t xml:space="preserve">SISA y Firesafer no dan medidas. Es de mesa: falta la mesa</t>
  </si>
  <si>
    <t xml:space="preserve">   Estante: matafuegos ensayados (pulmón)</t>
  </si>
  <si>
    <t xml:space="preserve">Estante: parados en bandejas, un modelo por bandeja; máx. 241 u en 8 bandejas o cajones</t>
  </si>
  <si>
    <t xml:space="preserve">PULMONES-FLAMA2035 › Parametros B7 (frente 1.200), B8 (fondo 600) y B9 (alto 2.000) · módulos: Pulmones O25 · máximo: H25 · bandejas: N25</t>
  </si>
  <si>
    <t xml:space="preserve">   Carro porta-bandejas: matafuegos etiquetados → embalaje y paletizado</t>
  </si>
  <si>
    <t xml:space="preserve">PULMONES-FLAMA2035 › Parametros A42:B42 (lugar de 1 m² del carro de 1,3 × 0,7 m) y B37 (3 bandejas) · cantidad: Pulmones S26 (¿puede parar el que entrega?: Z26)</t>
  </si>
  <si>
    <t xml:space="preserve">Balanceo-FLAMA2035 › Carga R59 (máq.) y S59 (turnos)</t>
  </si>
  <si>
    <t xml:space="preserve">   Envolvedora EDOS PS 5</t>
  </si>
  <si>
    <t xml:space="preserve">área de instalación; pallet máx. 1,25 × 1,25 × 2,00 m</t>
  </si>
  <si>
    <t xml:space="preserve">Folleto EDOS (Embaladora de pallet)</t>
  </si>
  <si>
    <t xml:space="preserve">   Cerradora de cajas Firesafer FS-DDP50</t>
  </si>
  <si>
    <t xml:space="preserve">No está en la cotización Firesafer</t>
  </si>
  <si>
    <t xml:space="preserve">   Estante: cilindros vacíos pintados (pulmón)</t>
  </si>
  <si>
    <t xml:space="preserve">Estante: parados en bandejas, un modelo por bandeja; máx. 421 u en 5 bandejas o cajones</t>
  </si>
  <si>
    <t xml:space="preserve">PULMONES-FLAMA2035 › Parametros B7 (frente 1.200), B8 (fondo 600) y B9 (alto 2.000) · módulos: Pulmones O20 · máximo: H20 · bandejas: N20</t>
  </si>
  <si>
    <t xml:space="preserve">CARROS — lo que va dentro de cada puesto</t>
  </si>
  <si>
    <t xml:space="preserve">Balanceo-FLAMA2035 › Carga M77 (máq.) y N77 (turnos)</t>
  </si>
  <si>
    <t xml:space="preserve">   Roladora de carros (6 × 1.500)</t>
  </si>
  <si>
    <t xml:space="preserve">equivalente: roladora W11-6×1500</t>
  </si>
  <si>
    <t xml:space="preserve">Internet: goldsupplier.com/provide/p106252607.html, W11-6×1500 (331 × 121 × 133, en cm)</t>
  </si>
  <si>
    <t xml:space="preserve">No hay cotización. Se elige 6 × 1.500 porque la chapa de carros es de 4,75 × 1.500 (MP-FLAMA2035 › Resumen A26). Confirmar unidades</t>
  </si>
  <si>
    <t xml:space="preserve">   Piso demarcado: cuerpos planos grabados (pulmón)</t>
  </si>
  <si>
    <t xml:space="preserve">—</t>
  </si>
  <si>
    <t xml:space="preserve">Sobre la mesa móvil de la guillotina, apilados (tanda de corte); máx. 52 recipientes; huella = m² de Pulmones ÷ 1,4 de circulación</t>
  </si>
  <si>
    <t xml:space="preserve">PULMONES-FLAMA2035 › Carros J6 (m²), H6 (máximo) e I6 (cómo espera)</t>
  </si>
  <si>
    <t xml:space="preserve">Balanceo-FLAMA2035 › Carga M78 (máq.) y N78 (turnos)</t>
  </si>
  <si>
    <t xml:space="preserve">   Virador ProArc TR-0100 (motriz)</t>
  </si>
  <si>
    <t xml:space="preserve">1 t; Ø 20–800 mm</t>
  </si>
  <si>
    <t xml:space="preserve">Internet: westermans.com, ProArc TR-0100 (motriz 470 × 320 × 334, loco 450 × 160 × 334 mm)</t>
  </si>
  <si>
    <t xml:space="preserve">No hay cotización: equivalente de 1 t. La distancia entre motriz y loco depende del largo del recipiente</t>
  </si>
  <si>
    <t xml:space="preserve">   Virador ProArc TR-0100 (loco)</t>
  </si>
  <si>
    <t xml:space="preserve">Internet: westermans.com, ProArc TR-0100</t>
  </si>
  <si>
    <t xml:space="preserve">   Piso demarcado: virolas (pulmón)</t>
  </si>
  <si>
    <t xml:space="preserve">Piso demarcado de 1,8 × 1,2 m al pie del punteo, paradas; máx. 2 recipientes; huella = m² de Pulmones ÷ 1,4 de circulación</t>
  </si>
  <si>
    <t xml:space="preserve">PULMONES-FLAMA2035 › Carros J7 (m²), H7 (máximo) e I7 (cómo espera)</t>
  </si>
  <si>
    <t xml:space="preserve">Balanceo-FLAMA2035 › Carga M79 (máq.) y N79 (turnos)</t>
  </si>
  <si>
    <t xml:space="preserve">   Soldadora longitudinal Dragon ZH-1300</t>
  </si>
  <si>
    <t xml:space="preserve">con mesa elevadora con rodillos; largo de soldadura 1.300 mm</t>
  </si>
  <si>
    <t xml:space="preserve">Proforma Dragon Welding BF26091611</t>
  </si>
  <si>
    <t xml:space="preserve">   Chiller SDL-1000</t>
  </si>
  <si>
    <t xml:space="preserve">medidas de embalaje</t>
  </si>
  <si>
    <t xml:space="preserve">Son medidas del embalaje, no de la máquina</t>
  </si>
  <si>
    <t xml:space="preserve">Balanceo-FLAMA2035 › Carga M80 (máq.) y N80 (turnos)</t>
  </si>
  <si>
    <t xml:space="preserve">   Soldadora de cupla</t>
  </si>
  <si>
    <t xml:space="preserve">   Piso demarcado: cúpulas con cupla (pulmón)</t>
  </si>
  <si>
    <t xml:space="preserve">En el carro canasto entre la soldadura de cupla y el armado; máx. 13 recipientes; huella = m² de Pulmones ÷ 1,4 de circulación</t>
  </si>
  <si>
    <t xml:space="preserve">PULMONES-FLAMA2035 › Carros J9 (m²), H9 (máximo) e I9 (cómo espera)</t>
  </si>
  <si>
    <t xml:space="preserve">Balanceo-FLAMA2035 › Carga M81 (máq.) y N81 (turnos)</t>
  </si>
  <si>
    <t xml:space="preserve">   Piso demarcado: cuerpos soldados (pulmón)</t>
  </si>
  <si>
    <t xml:space="preserve">Piso demarcado al pie del armado (7), parados; máx. 11 recipientes; huella = m² de Pulmones ÷ 1,4 de circulación</t>
  </si>
  <si>
    <t xml:space="preserve">PULMONES-FLAMA2035 › Carros J8 (m²), H8 (máximo) e I8 (cómo espera)</t>
  </si>
  <si>
    <t xml:space="preserve">Balanceo-FLAMA2035 › Carga M82 (máq.) y N82 (turnos)</t>
  </si>
  <si>
    <t xml:space="preserve">   Piso demarcado: cilindros cerrados (pulmón)</t>
  </si>
  <si>
    <t xml:space="preserve">Piso demarcado al pie de accesorios (8), parados; máx. 1 recipientes; huella = m² de Pulmones ÷ 1,4 de circulación</t>
  </si>
  <si>
    <t xml:space="preserve">PULMONES-FLAMA2035 › Carros J10 (m²), H10 (máximo) e I10 (cómo espera)</t>
  </si>
  <si>
    <t xml:space="preserve">Balanceo-FLAMA2035 › Carga M83 (máq.) y N83 (turnos)</t>
  </si>
  <si>
    <t xml:space="preserve">   Equipos de fabricación de accesorios</t>
  </si>
  <si>
    <t xml:space="preserve">Balanceo-FLAMA2035 › Carga M86 (máq.) y N86 (turnos)</t>
  </si>
  <si>
    <t xml:space="preserve">   Piso demarcado: recipientes esperando la pintura (pulmón)</t>
  </si>
  <si>
    <t xml:space="preserve">Espera del pintor: piso demarcado junto al portón, parados con un taco atrás; máx. 29 recipientes; huella = m² de Pulmones ÷ 1,4 de circulación</t>
  </si>
  <si>
    <t xml:space="preserve">PULMONES-FLAMA2035 › Carros J11 (m²), H11 (máximo) e I11 (cómo espera)</t>
  </si>
  <si>
    <t xml:space="preserve">Balanceo-FLAMA2035 › Carga M87 (máq.) y N87 (turnos)</t>
  </si>
  <si>
    <t xml:space="preserve">   Piso demarcado: carros pintados (pulmón)</t>
  </si>
  <si>
    <t xml:space="preserve">Piso demarcado de pintados: sin ruedas, parados sobre un taco de madera; máx. 29 recipientes; huella = m² de Pulmones ÷ 1,4 de circulación</t>
  </si>
  <si>
    <t xml:space="preserve">PULMONES-FLAMA2035 › Carros J13 (m²), H13 (máximo) e I13 (cómo espera)</t>
  </si>
  <si>
    <t xml:space="preserve">Balanceo-FLAMA2035 › Carga M88 (máq.) y N88 (turnos)</t>
  </si>
  <si>
    <t xml:space="preserve">Balanceo-FLAMA2035 › Carga M89 (máq.) y N89 (turnos)</t>
  </si>
  <si>
    <t xml:space="preserve">   Montaje, manga, precinto y etiquetado</t>
  </si>
  <si>
    <t xml:space="preserve">Balanceo-FLAMA2035 › Carga M90 (máq.) y N90 (turnos)</t>
  </si>
  <si>
    <t xml:space="preserve">   Calidad: pérdidas, inspección final y ensayos de lote</t>
  </si>
  <si>
    <t xml:space="preserve">RECARGAS — lo que va dentro de cada puesto</t>
  </si>
  <si>
    <t xml:space="preserve">Balanceo-FLAMA2035 › Carga F104 (máq.) y G104 (turnos)</t>
  </si>
  <si>
    <t xml:space="preserve">   Equipo de recepción y registro</t>
  </si>
  <si>
    <t xml:space="preserve">   Jaula en espera (pulmón)</t>
  </si>
  <si>
    <t xml:space="preserve">28 equipos por jaula; los equipos que se juntan = los que llegan por hora × las horas que pasa cada uno en el puesto (trabajo + ½ h de espera)</t>
  </si>
  <si>
    <t xml:space="preserve">Balanceo-FLAMA2035 › Carga M104 (jaulas) y L104 (equipos) · jaula 1,2 × 1,0 m y 28 equipos: Parametros A52:B52</t>
  </si>
  <si>
    <t xml:space="preserve">Alto de la jaula</t>
  </si>
  <si>
    <t xml:space="preserve">Balanceo-FLAMA2035 › Carga F105 (máq.) y G105 (turnos)</t>
  </si>
  <si>
    <t xml:space="preserve">   Equipo de inspección visual</t>
  </si>
  <si>
    <t xml:space="preserve">Balanceo-FLAMA2035 › Carga M105 (jaulas) y L105 (equipos) · jaula 1,2 × 1,0 m y 28 equipos: Parametros A52:B52</t>
  </si>
  <si>
    <t xml:space="preserve">Balanceo-FLAMA2035 › Carga F106 (máq.) y G106 (turnos)</t>
  </si>
  <si>
    <t xml:space="preserve">   Recuperadora / cargadora de polvo Firesafer FS-ZR01</t>
  </si>
  <si>
    <t xml:space="preserve">recupera y carga 1–12 kg</t>
  </si>
  <si>
    <t xml:space="preserve">Catálogo Firesafer de service (FS 2026 Service Lists)</t>
  </si>
  <si>
    <t xml:space="preserve">Opción por función: confirmar. Alternativa FS-SDP-1 sin medidas</t>
  </si>
  <si>
    <t xml:space="preserve">Balanceo-FLAMA2035 › Carga M106 (jaulas) y L106 (equipos) · jaula 1,2 × 1,0 m y 28 equipos: Parametros A52:B52</t>
  </si>
  <si>
    <t xml:space="preserve">Balanceo-FLAMA2035 › Carga F107 (máq.) y G107 (turnos)</t>
  </si>
  <si>
    <t xml:space="preserve">   Equipo de descarga a descarte (abc, bc y clase d)</t>
  </si>
  <si>
    <t xml:space="preserve">Balanceo-FLAMA2035 › Carga M107 (jaulas) y L107 (equipos) · jaula 1,2 × 1,0 m y 28 equipos: Parametros A52:B52</t>
  </si>
  <si>
    <t xml:space="preserve">Balanceo-FLAMA2035 › Carga F108 (máq.) y G108 (turnos)</t>
  </si>
  <si>
    <t xml:space="preserve">   Cargadora de agua y espuma Firesafer FS-SJML01</t>
  </si>
  <si>
    <t xml:space="preserve">Opción por función: confirmar</t>
  </si>
  <si>
    <t xml:space="preserve">Balanceo-FLAMA2035 › Carga M108 (jaulas) y L108 (equipos) · jaula 1,2 × 1,0 m y 28 equipos: Parametros A52:B52</t>
  </si>
  <si>
    <t xml:space="preserve">Balanceo-FLAMA2035 › Carga F109 (máq.) y G109 (turnos)</t>
  </si>
  <si>
    <t xml:space="preserve">   Cargadora de CO₂ Firesafer FS-CO2E</t>
  </si>
  <si>
    <t xml:space="preserve">Opción por función: confirmar. Alternativa FS-CO2M 0,70 × 0,55 × 0,60</t>
  </si>
  <si>
    <t xml:space="preserve">Balanceo-FLAMA2035 › Carga M109 (jaulas) y L109 (equipos) · jaula 1,2 × 1,0 m y 28 equipos: Parametros A52:B52</t>
  </si>
  <si>
    <t xml:space="preserve">Balanceo-FLAMA2035 › Carga F110 (máq.) y G110 (turnos)</t>
  </si>
  <si>
    <t xml:space="preserve">   Cargadora de agente limpio Firesafer FS-FM2</t>
  </si>
  <si>
    <t xml:space="preserve">Sin medidas en el catálogo</t>
  </si>
  <si>
    <t xml:space="preserve">Balanceo-FLAMA2035 › Carga M110 (jaulas) y L110 (equipos) · jaula 1,2 × 1,0 m y 28 equipos: Parametros A52:B52</t>
  </si>
  <si>
    <t xml:space="preserve">Balanceo-FLAMA2035 › Carga F111 (máq.) y G111 (turnos)</t>
  </si>
  <si>
    <t xml:space="preserve">   Equipo de desarme y limpieza</t>
  </si>
  <si>
    <t xml:space="preserve">Balanceo-FLAMA2035 › Carga M111 (jaulas) y L111 (equipos) · jaula 1,2 × 1,0 m y 28 equipos: Parametros A52:B52</t>
  </si>
  <si>
    <t xml:space="preserve">Balanceo-FLAMA2035 › Carga F112 (máq.) y G112 (turnos)</t>
  </si>
  <si>
    <t xml:space="preserve">   Equipo de desarme e inspección interior</t>
  </si>
  <si>
    <t xml:space="preserve">Balanceo-FLAMA2035 › Carga M112 (jaulas) y L112 (equipos) · jaula 1,2 × 1,0 m y 28 equipos: Parametros A52:B52</t>
  </si>
  <si>
    <t xml:space="preserve">Balanceo-FLAMA2035 › Carga F113 (máq.) y G113 (turnos)</t>
  </si>
  <si>
    <t xml:space="preserve">   Equipo de laboratorio</t>
  </si>
  <si>
    <t xml:space="preserve">Balanceo-FLAMA2035 › Carga M113 (jaulas) y L113 (equipos) · jaula 1,2 × 1,0 m y 28 equipos: Parametros A52:B52</t>
  </si>
  <si>
    <t xml:space="preserve">Balanceo-FLAMA2035 › Carga F114 (máq.) y G114 (turnos)</t>
  </si>
  <si>
    <t xml:space="preserve">   Bomba de PH Firesafer FS-HPT1</t>
  </si>
  <si>
    <t xml:space="preserve">   Banco de PH de 3 puestos Firesafer FS-HPT1</t>
  </si>
  <si>
    <t xml:space="preserve">Balanceo-FLAMA2035 › Carga M114 (jaulas) y L114 (equipos) · jaula 1,2 × 1,0 m y 28 equipos: Parametros A52:B52</t>
  </si>
  <si>
    <t xml:space="preserve">Balanceo-FLAMA2035 › Carga F115 (máq.) y G115 (turnos)</t>
  </si>
  <si>
    <t xml:space="preserve">   Secadora de 4 bocas Firesafer FS-D4</t>
  </si>
  <si>
    <t xml:space="preserve">Balanceo-FLAMA2035 › Carga M115 (jaulas) y L115 (equipos) · jaula 1,2 × 1,0 m y 28 equipos: Parametros A52:B52</t>
  </si>
  <si>
    <t xml:space="preserve">Balanceo-FLAMA2035 › Carga F116 (máq.) y G116 (turnos)</t>
  </si>
  <si>
    <t xml:space="preserve">   Equipo de inspección interior con videoscopio</t>
  </si>
  <si>
    <t xml:space="preserve">Balanceo-FLAMA2035 › Carga M116 (jaulas) y L116 (equipos) · jaula 1,2 × 1,0 m y 28 equipos: Parametros A52:B52</t>
  </si>
  <si>
    <t xml:space="preserve">Balanceo-FLAMA2035 › Carga F117 (máq.) y G117 (turnos)</t>
  </si>
  <si>
    <t xml:space="preserve">   Equipo de pintura</t>
  </si>
  <si>
    <t xml:space="preserve">Balanceo-FLAMA2035 › Carga M117 (jaulas) y L117 (equipos) · jaula 1,2 × 1,0 m y 28 equipos: Parametros A52:B52</t>
  </si>
  <si>
    <t xml:space="preserve">Balanceo-FLAMA2035 › Carga F118 (máq.) y G118 (turnos)</t>
  </si>
  <si>
    <t xml:space="preserve">Alternativa Firesafer FS-ZR01 0,80 × 0,40 × 1,35</t>
  </si>
  <si>
    <t xml:space="preserve">Balanceo-FLAMA2035 › Carga M118 (jaulas) y L118 (equipos) · jaula 1,2 × 1,0 m y 28 equipos: Parametros A52:B52</t>
  </si>
  <si>
    <t xml:space="preserve">Balanceo-FLAMA2035 › Carga F119 (máq.) y G119 (turnos)</t>
  </si>
  <si>
    <t xml:space="preserve">   Morsa manual Firesafer FS-MC</t>
  </si>
  <si>
    <t xml:space="preserve">Balanceo-FLAMA2035 › Carga M119 (jaulas) y L119 (equipos) · jaula 1,2 × 1,0 m y 28 equipos: Parametros A52:B52</t>
  </si>
  <si>
    <t xml:space="preserve">Balanceo-FLAMA2035 › Carga F120 (máq.) y G120 (turnos)</t>
  </si>
  <si>
    <t xml:space="preserve">   Presurizadora de N₂ Firesafer FS-N2</t>
  </si>
  <si>
    <t xml:space="preserve">Balanceo-FLAMA2035 › Carga M120 (jaulas) y L120 (equipos) · jaula 1,2 × 1,0 m y 28 equipos: Parametros A52:B52</t>
  </si>
  <si>
    <t xml:space="preserve">Balanceo-FLAMA2035 › Carga F121 (máq.) y G121 (turnos)</t>
  </si>
  <si>
    <t xml:space="preserve">   Equipo de ensamblaje y presurización</t>
  </si>
  <si>
    <t xml:space="preserve">Balanceo-FLAMA2035 › Carga M121 (jaulas) y L121 (equipos) · jaula 1,2 × 1,0 m y 28 equipos: Parametros A52:B52</t>
  </si>
  <si>
    <t xml:space="preserve">Balanceo-FLAMA2035 › Carga F122 (máq.) y G122 (turnos)</t>
  </si>
  <si>
    <t xml:space="preserve">   Equipo de control de peso (co₂ y halogenados sin recarga)</t>
  </si>
  <si>
    <t xml:space="preserve">Balanceo-FLAMA2035 › Carga M122 (jaulas) y L122 (equipos) · jaula 1,2 × 1,0 m y 28 equipos: Parametros A52:B52</t>
  </si>
  <si>
    <t xml:space="preserve">Balanceo-FLAMA2035 › Carga F123 (máq.) y G123 (turnos)</t>
  </si>
  <si>
    <t xml:space="preserve">Balanceo-FLAMA2035 › Carga M123 (jaulas) y L123 (equipos) · jaula 1,2 × 1,0 m y 28 equipos: Parametros A52:B52</t>
  </si>
  <si>
    <t xml:space="preserve">Balanceo-FLAMA2035 › Carga F124 (máq.) y G124 (turnos)</t>
  </si>
  <si>
    <t xml:space="preserve">   Equipo de precinto, etiqueta y despacho</t>
  </si>
  <si>
    <t xml:space="preserve">Balanceo-FLAMA2035 › Carga M124 (jaulas) y L124 (equipos) · jaula 1,2 × 1,0 m y 28 equipos: Parametros A52:B52</t>
  </si>
  <si>
    <t xml:space="preserve">Balanceo-FLAMA2035 › Carga F125 (máq.) y G125 (turnos)</t>
  </si>
  <si>
    <t xml:space="preserve">   Equipo de inutilización y disposición final</t>
  </si>
  <si>
    <t xml:space="preserve">Balanceo-FLAMA2035 › Carga M125 (jaulas) y L125 (equipos) · jaula 1,2 × 1,0 m y 28 equipos: Parametros A52:B52</t>
  </si>
  <si>
    <t xml:space="preserve">Balanceo-FLAMA2035 › Carga F126 (máq.) y G126 (turnos)</t>
  </si>
  <si>
    <t xml:space="preserve">   Equipo de ph de mangueras (co₂ y rodantes)</t>
  </si>
  <si>
    <t xml:space="preserve">Balanceo-FLAMA2035 › Carga M126 (jaulas) y L126 (equipos) · jaula 1,2 × 1,0 m y 28 equipos: Parametros A52:B52</t>
  </si>
  <si>
    <t xml:space="preserve">   Pulmón de recepción (lote retirado que espera entrar)</t>
  </si>
  <si>
    <t xml:space="preserve">½ día de recargas, 271 equipos</t>
  </si>
  <si>
    <t xml:space="preserve">Balanceo-FLAMA2035 › Carga M128 (10 jaulas) y L128 (271 equipos) · jaula: Parametros A52:B52</t>
  </si>
  <si>
    <t xml:space="preserve">   Pulmón de despacho (recargados listos para el recorrido)</t>
  </si>
  <si>
    <t xml:space="preserve">Balanceo-FLAMA2035 › Carga M129 (10 jaulas) y L129 (271 equipos) · jaula: Parametros A52:B52</t>
  </si>
  <si>
    <t xml:space="preserve">PULMONES — qué se junta entre puestos, cómo espera y cuántos carros</t>
  </si>
  <si>
    <t xml:space="preserve">Columnas «Pulmones»: lo que calcula el Excel de Pulmones. Columnas «Propuesta»: 1 solo carro por tramo; mientras viaja, la bandeja que se está llenando queda en el soporte fijo del puesto que entrega (regla de Pulmones, Parametros B39). Con tandas no hace falta el carro de más.</t>
  </si>
  <si>
    <t xml:space="preserve">Pulmón</t>
  </si>
  <si>
    <t xml:space="preserve">De → a</t>
  </si>
  <si>
    <t xml:space="preserve">Dónde espera</t>
  </si>
  <si>
    <t xml:space="preserve">Máximo (u)</t>
  </si>
  <si>
    <t xml:space="preserve">Cómo espera</t>
  </si>
  <si>
    <t xml:space="preserve">Bandejas / cajones</t>
  </si>
  <si>
    <t xml:space="preserve">Módulos de estante</t>
  </si>
  <si>
    <t xml:space="preserve">Carros (Pulmones)</t>
  </si>
  <si>
    <t xml:space="preserve">Por qué</t>
  </si>
  <si>
    <t xml:space="preserve">m² (Pulmones)</t>
  </si>
  <si>
    <t xml:space="preserve">Carros (propuesta)</t>
  </si>
  <si>
    <t xml:space="preserve">m² (propuesta)</t>
  </si>
  <si>
    <t xml:space="preserve">Comentario</t>
  </si>
  <si>
    <t xml:space="preserve">Franjas</t>
  </si>
  <si>
    <t xml:space="preserve">Corte de chapa — 1.er corte en franjas (guillotina 1, manuales + carros) → Corte de chapa — 2.º corte en piezas (guillotina 2, manuales + carros)</t>
  </si>
  <si>
    <t xml:space="preserve">Guillotina 2 (mesa elevadora 2)</t>
  </si>
  <si>
    <t xml:space="preserve">Sobre la mesa elevadora 2 (fija), en la guillotina 2</t>
  </si>
  <si>
    <t xml:space="preserve">No se traslada en carro</t>
  </si>
  <si>
    <t xml:space="preserve">Desarrollos</t>
  </si>
  <si>
    <t xml:space="preserve">Corte de chapa — 2.º corte en piezas (guillotina 2, manuales + carros) → Marcado del cuerpo (manuales + carros)</t>
  </si>
  <si>
    <t xml:space="preserve">Marcado (manuales)</t>
  </si>
  <si>
    <t xml:space="preserve">Estante: pilas por modelo sobre bandejas</t>
  </si>
  <si>
    <t xml:space="preserve">1 carro por tramo</t>
  </si>
  <si>
    <t xml:space="preserve">Virolas</t>
  </si>
  <si>
    <t xml:space="preserve">Cilindrado → Soldadura longitudinal — 2,5 a 10 kg</t>
  </si>
  <si>
    <t xml:space="preserve">Sold. longitudinal 2,5–10 y TIG 1 kg</t>
  </si>
  <si>
    <t xml:space="preserve">Estante: parados en bandejas, un modelo por bandeja</t>
  </si>
  <si>
    <t xml:space="preserve">Cuerpos soldados</t>
  </si>
  <si>
    <t xml:space="preserve">Soldadura longitudinal — 2,5 a 10 kg → Encastre de fondo</t>
  </si>
  <si>
    <t xml:space="preserve">Encastre de fondo</t>
  </si>
  <si>
    <t xml:space="preserve">El que entrega no puede parar (es el cuello (soldadura longitudinal)): uno recibe mientras el otro viaja</t>
  </si>
  <si>
    <t xml:space="preserve">Con tandas alcanza 1: la bandeja en llenado queda en el soporte fijo mientras el carro viaja</t>
  </si>
  <si>
    <t xml:space="preserve">Fondos</t>
  </si>
  <si>
    <t xml:space="preserve">Corte de disco y embutido (cúpula y fondo) → Encastre de fondo</t>
  </si>
  <si>
    <t xml:space="preserve">Rack junto a la prensa + encastre</t>
  </si>
  <si>
    <t xml:space="preserve">Rack de pallets al lado de la prensa (la tanda) + estante en el puesto con la ola de mañana</t>
  </si>
  <si>
    <t xml:space="preserve">Cúpulas</t>
  </si>
  <si>
    <t xml:space="preserve">Corte de disco y embutido (cúpula y fondo) → Soldadura del cuello a la cúpula</t>
  </si>
  <si>
    <t xml:space="preserve">Rack junto a la prensa + prep. de cuello</t>
  </si>
  <si>
    <t xml:space="preserve">Desarrollos marcados</t>
  </si>
  <si>
    <t xml:space="preserve">Marcado del cuerpo (manuales + carros) → Cilindrado</t>
  </si>
  <si>
    <t xml:space="preserve">Cilindrado</t>
  </si>
  <si>
    <t xml:space="preserve">Pila al alcance entre el marcado y la cilindradora (pegados)</t>
  </si>
  <si>
    <t xml:space="preserve">Cúpulas con cuello</t>
  </si>
  <si>
    <t xml:space="preserve">Soldadura del cuello a la cúpula → Soldadura circunferencial de cúpula y fondo</t>
  </si>
  <si>
    <t xml:space="preserve">Sold. circunferencial</t>
  </si>
  <si>
    <t xml:space="preserve">Estante de cajones al pie de la soldadura circunferencial</t>
  </si>
  <si>
    <t xml:space="preserve">Cuerpos con fondo</t>
  </si>
  <si>
    <t xml:space="preserve">Encastre de fondo → Bordoneado</t>
  </si>
  <si>
    <t xml:space="preserve">Bordoneado</t>
  </si>
  <si>
    <t xml:space="preserve">Sin estante: el que consume no es más lento; lo que llega espera en los carros del tramo</t>
  </si>
  <si>
    <t xml:space="preserve">Sin estante: ↑(3 bandejas ÷ 3) + 1 (mínimo 2)</t>
  </si>
  <si>
    <t xml:space="preserve">Entra todo en 1 carro (3 bandejas): ese carro es el pulmón; la bandeja en llenado espera en el soporte fijo</t>
  </si>
  <si>
    <t xml:space="preserve">Cuerpos bordoneados</t>
  </si>
  <si>
    <t xml:space="preserve">Bordoneado → Soldadura circunferencial de cúpula y fondo</t>
  </si>
  <si>
    <t xml:space="preserve">Cilindros soldados</t>
  </si>
  <si>
    <t xml:space="preserve">Soldadura circunferencial de cúpula y fondo → Prueba hidráulica</t>
  </si>
  <si>
    <t xml:space="preserve">PH (bloque PH + secado)</t>
  </si>
  <si>
    <t xml:space="preserve">Sin estante: ↑(11 bandejas ÷ 3) + 1</t>
  </si>
  <si>
    <t xml:space="preserve">Lo que queda al cerrar el turno espera en carros estacionados (no son de tránsito). Alternativa: estante al pie del que consume</t>
  </si>
  <si>
    <t xml:space="preserve">Cilindros mojados</t>
  </si>
  <si>
    <t xml:space="preserve">Prueba hidráulica → Secado</t>
  </si>
  <si>
    <t xml:space="preserve">Secado</t>
  </si>
  <si>
    <t xml:space="preserve">Sin estante: ↑(5 bandejas ÷ 3) + 1</t>
  </si>
  <si>
    <t xml:space="preserve">Cilindros secos</t>
  </si>
  <si>
    <t xml:space="preserve">Secado → Granallado</t>
  </si>
  <si>
    <t xml:space="preserve">Granallado</t>
  </si>
  <si>
    <t xml:space="preserve">Sin estante: ↑(6 bandejas ÷ 3) + 1</t>
  </si>
  <si>
    <t xml:space="preserve">Cilindros granallados</t>
  </si>
  <si>
    <t xml:space="preserve">Granallado → Pintura en polvo + horno</t>
  </si>
  <si>
    <t xml:space="preserve">Pintura (carga a ganchos)</t>
  </si>
  <si>
    <t xml:space="preserve">Cilindros vacíos pintados</t>
  </si>
  <si>
    <t xml:space="preserve">Pintura en polvo + horno → Embalaje y paletizado</t>
  </si>
  <si>
    <t xml:space="preserve">Embalaje</t>
  </si>
  <si>
    <t xml:space="preserve">El que entrega no puede parar (sale del horno de pintura): uno recibe mientras el otro viaja</t>
  </si>
  <si>
    <t xml:space="preserve">Cilindros pintados para cargar</t>
  </si>
  <si>
    <t xml:space="preserve">Pintura en polvo + horno → Carga de polvo</t>
  </si>
  <si>
    <t xml:space="preserve">Carga de polvo</t>
  </si>
  <si>
    <t xml:space="preserve">Cilindros cargados de polvo</t>
  </si>
  <si>
    <t xml:space="preserve">Carga de polvo → Ensamblaje</t>
  </si>
  <si>
    <t xml:space="preserve">Ensamblaje</t>
  </si>
  <si>
    <t xml:space="preserve">Matafuegos armados</t>
  </si>
  <si>
    <t xml:space="preserve">Ensamblaje → Presurización</t>
  </si>
  <si>
    <t xml:space="preserve">Presurización</t>
  </si>
  <si>
    <t xml:space="preserve">Matafuegos presurizados</t>
  </si>
  <si>
    <t xml:space="preserve">Presurización → Control de calidad — Ensayo de pérdidas</t>
  </si>
  <si>
    <t xml:space="preserve">Ensayo de pérdidas</t>
  </si>
  <si>
    <t xml:space="preserve">Matafuegos ensayados</t>
  </si>
  <si>
    <t xml:space="preserve">Control de calidad — Ensayo de pérdidas → Etiquetado</t>
  </si>
  <si>
    <t xml:space="preserve">Etiquetado</t>
  </si>
  <si>
    <t xml:space="preserve">Matafuegos etiquetados</t>
  </si>
  <si>
    <t xml:space="preserve">Etiquetado → Embalaje y paletizado</t>
  </si>
  <si>
    <t xml:space="preserve">Total manuales</t>
  </si>
  <si>
    <t xml:space="preserve">Supermercado de fondos y cúpulas: rack de 2 vanos × 3 niveles, 17 pallets de 12 cajones (ya contado en fondos y cúpulas)</t>
  </si>
  <si>
    <t xml:space="preserve">Cuerpos planos grabados</t>
  </si>
  <si>
    <t xml:space="preserve">Guillotinas → Cilindrado de carros</t>
  </si>
  <si>
    <t xml:space="preserve">2.2 pulmón de cuerpos planos</t>
  </si>
  <si>
    <t xml:space="preserve">Sobre la mesa móvil de la guillotina, apilados (tanda de corte)</t>
  </si>
  <si>
    <t xml:space="preserve">La mesa móvil rueda hasta la cilindradora de carros</t>
  </si>
  <si>
    <t xml:space="preserve">Cilindrado → Punteo</t>
  </si>
  <si>
    <t xml:space="preserve">Punteo (4)</t>
  </si>
  <si>
    <t xml:space="preserve">Piso demarcado de 1,8 × 1,2 m al pie del punteo, paradas</t>
  </si>
  <si>
    <t xml:space="preserve">Rodando acostadas por el piso (11 a 41 kg): no se levantan</t>
  </si>
  <si>
    <t xml:space="preserve">Soldadura longitudinal → Armado (7)</t>
  </si>
  <si>
    <t xml:space="preserve">Armado (7)</t>
  </si>
  <si>
    <t xml:space="preserve">Piso demarcado al pie del armado (7), parados</t>
  </si>
  <si>
    <t xml:space="preserve">Rodando acostados hasta el virador del armado</t>
  </si>
  <si>
    <t xml:space="preserve">Cúpulas con cupla</t>
  </si>
  <si>
    <t xml:space="preserve">Soldadura de cupla (6) → Armado (7)</t>
  </si>
  <si>
    <t xml:space="preserve">Carro canasto entre 6 y 7</t>
  </si>
  <si>
    <t xml:space="preserve">En el carro canasto entre la soldadura de cupla y el armado</t>
  </si>
  <si>
    <t xml:space="preserve">El carro canasto (pulmón y traslado a la vez, puestos pegados)</t>
  </si>
  <si>
    <t xml:space="preserve">Cilindros cerrados</t>
  </si>
  <si>
    <t xml:space="preserve">Armado (7) → Accesorios (8)</t>
  </si>
  <si>
    <t xml:space="preserve">Accesorios (8)</t>
  </si>
  <si>
    <t xml:space="preserve">Piso demarcado al pie de accesorios (8), parados</t>
  </si>
  <si>
    <t xml:space="preserve">Rodando acostados hasta la mesa de accesorios</t>
  </si>
  <si>
    <t xml:space="preserve">Recipientes esperando la pintura</t>
  </si>
  <si>
    <t xml:space="preserve">PH y secado → Pintura tercerizada</t>
  </si>
  <si>
    <t xml:space="preserve">11 espera del pintor</t>
  </si>
  <si>
    <t xml:space="preserve">Espera del pintor: piso demarcado junto al portón, parados con un taco atrás</t>
  </si>
  <si>
    <t xml:space="preserve">Carro de manipulación hasta la espera y hasta la Master (rampa)</t>
  </si>
  <si>
    <t xml:space="preserve">Carros pintados</t>
  </si>
  <si>
    <t xml:space="preserve">Recepción de pintados (12) → Carga (13)</t>
  </si>
  <si>
    <t xml:space="preserve">12 recepción de pintados</t>
  </si>
  <si>
    <t xml:space="preserve">Piso demarcado de pintados: sin ruedas, parados sobre un taco de madera</t>
  </si>
  <si>
    <t xml:space="preserve">Carro de manipulación hasta la carga de polvo (13); las ruedas se ponen en el montaje</t>
  </si>
  <si>
    <t xml:space="preserve">Total carros</t>
  </si>
  <si>
    <t xml:space="preserve">Carros: piezas de 11 a 61 kg, esperan paradas en el piso (Ø + 100 mm)² × 1,4, sin estante ni carro de tránsito.</t>
  </si>
  <si>
    <t xml:space="preserve">Jaulas en los 23 puestos</t>
  </si>
  <si>
    <t xml:space="preserve">dentro de cada puesto</t>
  </si>
  <si>
    <t xml:space="preserve">en cada puesto</t>
  </si>
  <si>
    <t xml:space="preserve">jaulas de 28 equipos; en cada puesto se juntan los que llegan por hora × las horas que pasa cada uno ahí</t>
  </si>
  <si>
    <t xml:space="preserve">Balanceo-FLAMA2035 › Carga filas 104 a 130</t>
  </si>
  <si>
    <t xml:space="preserve">Pulmón de entrada</t>
  </si>
  <si>
    <t xml:space="preserve">camión → recepción</t>
  </si>
  <si>
    <t xml:space="preserve">jaulas (½ día)</t>
  </si>
  <si>
    <t xml:space="preserve">Pulmón de salida</t>
  </si>
  <si>
    <t xml:space="preserve">despacho → camión</t>
  </si>
  <si>
    <t xml:space="preserve">Total recargas</t>
  </si>
  <si>
    <t xml:space="preserve">ESTANTES, CARROS Y CÓMO SE CARGAN</t>
  </si>
  <si>
    <t xml:space="preserve">1) MUEBLES Y UNIDADES DE CARGA</t>
  </si>
  <si>
    <t xml:space="preserve">Elemento</t>
  </si>
  <si>
    <t xml:space="preserve">Frente (mm)</t>
  </si>
  <si>
    <t xml:space="preserve">Fondo (mm)</t>
  </si>
  <si>
    <t xml:space="preserve">Alto (mm)</t>
  </si>
  <si>
    <t xml:space="preserve">Niveles</t>
  </si>
  <si>
    <t xml:space="preserve">Carga máx.</t>
  </si>
  <si>
    <t xml:space="preserve">Cómo es por dentro</t>
  </si>
  <si>
    <t xml:space="preserve">Estante de carga media (1 módulo)</t>
  </si>
  <si>
    <t xml:space="preserve">según la pieza (abajo)</t>
  </si>
  <si>
    <t xml:space="preserve">300 kg por nivel</t>
  </si>
  <si>
    <t xml:space="preserve">Primer nivel a 100 mm del piso; el último no pasa de 1.600 mm (se carga sin escalera). Entre niveles: alto de la pieza + 100 mm para meter la mano + 40 mm de la bandeja. 1 bandeja o 3 cajones por nivel.</t>
  </si>
  <si>
    <t xml:space="preserve">PULMONES-FLAMA2035 › Parametros B7:B13</t>
  </si>
  <si>
    <t xml:space="preserve">Bandeja metálica</t>
  </si>
  <si>
    <t xml:space="preserve">150 kg</t>
  </si>
  <si>
    <t xml:space="preserve">Chapa plegada de 2 mm con borde de 30 mm. Rueda del carro al estante sobre carriles de rodillos. Un solo modelo por bandeja.</t>
  </si>
  <si>
    <t xml:space="preserve">PULMONES-FLAMA2035 › Parametros B19:B22</t>
  </si>
  <si>
    <t xml:space="preserve">Cajón plástico</t>
  </si>
  <si>
    <t xml:space="preserve">20 kg con el cajón</t>
  </si>
  <si>
    <t xml:space="preserve">Interior 560 × 360 × 280 mm (pared y fondo de 20 mm). Fondos y cúpulas en columnas anidadas con 5 mm de luz.</t>
  </si>
  <si>
    <t xml:space="preserve">PULMONES-FLAMA2035 › Parametros B23:B30</t>
  </si>
  <si>
    <t xml:space="preserve">Carro porta-bandejas (tránsito)</t>
  </si>
  <si>
    <t xml:space="preserve">3</t>
  </si>
  <si>
    <t xml:space="preserve">450 kg (3 × 150)</t>
  </si>
  <si>
    <t xml:space="preserve">3 niveles a la misma altura que los 3 primeros del estante: la bandeja pasa deslizando del carro al estante.</t>
  </si>
  <si>
    <t xml:space="preserve">PULMONES-FLAMA2035 › Parametros B37, B42</t>
  </si>
  <si>
    <t xml:space="preserve">Carro de 12 cajones (tránsito)</t>
  </si>
  <si>
    <t xml:space="preserve">4</t>
  </si>
  <si>
    <t xml:space="preserve">12 cajones</t>
  </si>
  <si>
    <t xml:space="preserve">4 niveles de 3 cajones de 600 × 400, a la altura de los niveles del estante de cajones (100 / 500 / 900 / 1.300 mm).</t>
  </si>
  <si>
    <t xml:space="preserve">PULMONES-FLAMA2035 › Parametros B38</t>
  </si>
  <si>
    <t xml:space="preserve">Soporte fijo junto al puesto que entrega</t>
  </si>
  <si>
    <t xml:space="preserve">1</t>
  </si>
  <si>
    <t xml:space="preserve">1 bandeja</t>
  </si>
  <si>
    <t xml:space="preserve">Donde queda la bandeja que se está llenando mientras el carro viaja.</t>
  </si>
  <si>
    <t xml:space="preserve">PULMONES-FLAMA2035 › Parametros B39</t>
  </si>
  <si>
    <t xml:space="preserve">Rack selectivo (supermercado de fondos y cúpulas)</t>
  </si>
  <si>
    <t xml:space="preserve">3 pallets por nivel</t>
  </si>
  <si>
    <t xml:space="preserve">Vano de 2,7 m, 3 pallets de 800 de frente por nivel. Primer nivel a 400 mm (picking a mano entre 0,55 y 1,45 m); arriba, reserva.</t>
  </si>
  <si>
    <t xml:space="preserve">PULMONES-FLAMA2035 › Parametros B53:B58</t>
  </si>
  <si>
    <t xml:space="preserve">Pallet de cajones (fondos o cúpulas)</t>
  </si>
  <si>
    <t xml:space="preserve">3 capas</t>
  </si>
  <si>
    <t xml:space="preserve">4 cajones por capa (2 × 2) y 3 capas. Un solo modelo por pallet.</t>
  </si>
  <si>
    <t xml:space="preserve">PULMONES-FLAMA2035 › Parametros B53</t>
  </si>
  <si>
    <t xml:space="preserve">Jaula de recargas</t>
  </si>
  <si>
    <t xml:space="preserve">apilada a 2</t>
  </si>
  <si>
    <t xml:space="preserve">28 equipos</t>
  </si>
  <si>
    <t xml:space="preserve">Paletizable.</t>
  </si>
  <si>
    <t xml:space="preserve">Balanceo-FLAMA2035 › Parametros (U_JAULA) y Carga A131</t>
  </si>
  <si>
    <t xml:space="preserve">2) CÓMO SE CARGA CADA PIEZA (por modelo)</t>
  </si>
  <si>
    <t xml:space="preserve">Pieza y unidad de carga</t>
  </si>
  <si>
    <t xml:space="preserve">Modelo</t>
  </si>
  <si>
    <t xml:space="preserve">Cómo va</t>
  </si>
  <si>
    <t xml:space="preserve">Piezas por bandeja / cajón</t>
  </si>
  <si>
    <t xml:space="preserve">Peso (kg)</t>
  </si>
  <si>
    <t xml:space="preserve">Alto que ocupa (mm)</t>
  </si>
  <si>
    <t xml:space="preserve">Altura de cada nivel del estante (mm)</t>
  </si>
  <si>
    <t xml:space="preserve">Por módulo de estante</t>
  </si>
  <si>
    <t xml:space="preserve">Por carro</t>
  </si>
  <si>
    <t xml:space="preserve">Desarrollo — pila sobre bandeja</t>
  </si>
  <si>
    <t xml:space="preserve">1 kg</t>
  </si>
  <si>
    <t xml:space="preserve">1 pila de 254 desarrollos (chapa de 0,9 mm)</t>
  </si>
  <si>
    <t xml:space="preserve">5 niveles: 100 / 469 / 838 / 1207 / 1576</t>
  </si>
  <si>
    <t xml:space="preserve">2,5 kg</t>
  </si>
  <si>
    <t xml:space="preserve">1 pila de 147 desarrollos (chapa de 1,25 mm)</t>
  </si>
  <si>
    <t xml:space="preserve">5 niveles: 100 / 424 / 748 / 1072 / 1396</t>
  </si>
  <si>
    <t xml:space="preserve">5 kg</t>
  </si>
  <si>
    <t xml:space="preserve">1 pila de 76 desarrollos (chapa de 1,6 mm)</t>
  </si>
  <si>
    <t xml:space="preserve">6 niveles: 100 / 362 / 624 / 886 / 1148 / 1410</t>
  </si>
  <si>
    <t xml:space="preserve">10 kg</t>
  </si>
  <si>
    <t xml:space="preserve">1 pila de 34 desarrollos (chapa de 2,0 mm)</t>
  </si>
  <si>
    <t xml:space="preserve">8 niveles: 100 / 308 / 516 / 724 / 932 / 1140 / 1348 / 1556</t>
  </si>
  <si>
    <t xml:space="preserve">Virola o cuerpo — parado sobre bandeja</t>
  </si>
  <si>
    <t xml:space="preserve">parados en 15 filas × 7 = 105 (Ø 76,2 mm)</t>
  </si>
  <si>
    <t xml:space="preserve">4 niveles: 100 / 538 / 976 / 1414</t>
  </si>
  <si>
    <t xml:space="preserve">parados en 9 filas × 4 = 36 (Ø 124,0 mm)</t>
  </si>
  <si>
    <t xml:space="preserve">4 niveles: 100 / 573 / 1046 / 1519</t>
  </si>
  <si>
    <t xml:space="preserve">parados en 7 filas × 3 = 21 (Ø 153,0 mm)</t>
  </si>
  <si>
    <t xml:space="preserve">3 niveles: 100 / 654 / 1208</t>
  </si>
  <si>
    <t xml:space="preserve">parados en 6 filas × 3 = 18 (Ø 181,5 mm)</t>
  </si>
  <si>
    <t xml:space="preserve">3 niveles: 100 / 822 / 1544</t>
  </si>
  <si>
    <t xml:space="preserve">Cilindro — parado sobre bandeja</t>
  </si>
  <si>
    <t xml:space="preserve">Matafuego — parado sobre bandeja</t>
  </si>
  <si>
    <t xml:space="preserve">parados, 72 (por peso: entran 15 × 7 = 105)</t>
  </si>
  <si>
    <t xml:space="preserve">3 niveles: 100 / 630 / 1160</t>
  </si>
  <si>
    <t xml:space="preserve">parados, 34 (por peso: entran 9 × 4 = 36)</t>
  </si>
  <si>
    <t xml:space="preserve">3 niveles: 100 / 655 / 1210</t>
  </si>
  <si>
    <t xml:space="preserve">parados, 18 (por peso: entran 7 × 3 = 21)</t>
  </si>
  <si>
    <t xml:space="preserve">3 niveles: 100 / 735 / 1370</t>
  </si>
  <si>
    <t xml:space="preserve">parados, 9 (por peso: entran 6 × 3 = 18)</t>
  </si>
  <si>
    <t xml:space="preserve">2 niveles: 100 / 905</t>
  </si>
  <si>
    <t xml:space="preserve">En el carro entran 3 bandejas, pero en el estante solo 2 niveles quedan bajo 1,6 m</t>
  </si>
  <si>
    <t xml:space="preserve">Fondo — en cajón</t>
  </si>
  <si>
    <t xml:space="preserve">6 × 4 columnas de 12 piezas anidadas</t>
  </si>
  <si>
    <t xml:space="preserve">4 niveles: 100 / 500 / 900 / 1300</t>
  </si>
  <si>
    <t xml:space="preserve">4 × 2 columnas de 11 piezas anidadas</t>
  </si>
  <si>
    <t xml:space="preserve">3 × 2 columnas de 8 piezas anidadas</t>
  </si>
  <si>
    <t xml:space="preserve">3 × 1 columnas de 9 piezas anidadas</t>
  </si>
  <si>
    <t xml:space="preserve">Cúpula — en cajón</t>
  </si>
  <si>
    <t xml:space="preserve">4 × 2 columnas de 10 piezas anidadas</t>
  </si>
  <si>
    <t xml:space="preserve">3 × 2 columnas de 6 piezas anidadas</t>
  </si>
  <si>
    <t xml:space="preserve">3 × 1 columnas de 7 piezas anidadas</t>
  </si>
  <si>
    <t xml:space="preserve">Cúpula con cuello — en cajón</t>
  </si>
  <si>
    <t xml:space="preserve">sueltas en el cajón (Pulmones, Unidades fila 48; límite 20 kg)</t>
  </si>
  <si>
    <t xml:space="preserve">Fuente: PULMONES-FLAMA2035, hojas Unidades y Datos (pesos, Ø y altos de cada modelo). Altura de los niveles = 100 mm + n × (alto de la pieza + 100 mm + 40 mm de bandeja).</t>
  </si>
</sst>
</file>

<file path=xl/styles.xml><?xml version="1.0" encoding="utf-8"?>
<styleSheet xmlns="http://schemas.openxmlformats.org/spreadsheetml/2006/main">
  <numFmts count="4">
    <numFmt numFmtId="164" formatCode="General"/>
    <numFmt numFmtId="165" formatCode="0.00"/>
    <numFmt numFmtId="166" formatCode="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C00000"/>
      <name val="Arial"/>
      <family val="0"/>
      <charset val="1"/>
    </font>
  </fonts>
  <fills count="4">
    <fill>
      <patternFill patternType="none"/>
    </fill>
    <fill>
      <patternFill patternType="gray125"/>
    </fill>
    <fill>
      <patternFill patternType="solid">
        <fgColor rgb="FF404040"/>
        <bgColor rgb="FF333300"/>
      </patternFill>
    </fill>
    <fill>
      <patternFill patternType="solid">
        <fgColor rgb="FFD9D9D9"/>
        <bgColor rgb="FFBFBFB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8"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2" min="2" style="0" width="18"/>
  </cols>
  <sheetData>
    <row r="1" customFormat="false" ht="16.15" hidden="false" customHeight="false" outlineLevel="0" collapsed="false">
      <c r="A1" s="1" t="s">
        <v>0</v>
      </c>
    </row>
    <row r="2" customFormat="false" ht="15" hidden="false" customHeight="false" outlineLevel="0" collapsed="false">
      <c r="A2" s="2" t="s">
        <v>1</v>
      </c>
    </row>
    <row r="3" customFormat="false" ht="23.85" hidden="false" customHeight="false" outlineLevel="0" collapsed="false">
      <c r="A3" s="3" t="s">
        <v>2</v>
      </c>
      <c r="B3" s="3" t="s">
        <v>3</v>
      </c>
    </row>
    <row r="4" customFormat="false" ht="15" hidden="false" customHeight="false" outlineLevel="0" collapsed="false">
      <c r="A4" s="4" t="s">
        <v>4</v>
      </c>
      <c r="B4" s="4"/>
    </row>
    <row r="5" customFormat="false" ht="15" hidden="false" customHeight="false" outlineLevel="0" collapsed="false">
      <c r="A5" s="5" t="s">
        <v>5</v>
      </c>
      <c r="B5" s="6" t="n">
        <f aca="false">Manuales!F5</f>
        <v>12.02</v>
      </c>
    </row>
    <row r="6" customFormat="false" ht="15" hidden="false" customHeight="false" outlineLevel="0" collapsed="false">
      <c r="A6" s="5" t="s">
        <v>6</v>
      </c>
      <c r="B6" s="6" t="n">
        <f aca="false">Manuales!F13</f>
        <v>0</v>
      </c>
    </row>
    <row r="7" customFormat="false" ht="15" hidden="false" customHeight="false" outlineLevel="0" collapsed="false">
      <c r="A7" s="5" t="s">
        <v>7</v>
      </c>
      <c r="B7" s="6" t="n">
        <f aca="false">Manuales!F16</f>
        <v>4.03</v>
      </c>
    </row>
    <row r="8" customFormat="false" ht="15" hidden="false" customHeight="false" outlineLevel="0" collapsed="false">
      <c r="A8" s="5" t="s">
        <v>8</v>
      </c>
      <c r="B8" s="6" t="n">
        <f aca="false">Manuales!F21</f>
        <v>3.25</v>
      </c>
    </row>
    <row r="9" customFormat="false" ht="15" hidden="false" customHeight="false" outlineLevel="0" collapsed="false">
      <c r="A9" s="5" t="s">
        <v>9</v>
      </c>
      <c r="B9" s="6" t="n">
        <f aca="false">Manuales!F25</f>
        <v>7.27</v>
      </c>
    </row>
    <row r="10" customFormat="false" ht="15" hidden="false" customHeight="false" outlineLevel="0" collapsed="false">
      <c r="A10" s="5" t="s">
        <v>10</v>
      </c>
      <c r="B10" s="6" t="n">
        <f aca="false">Manuales!F30</f>
        <v>1.32</v>
      </c>
    </row>
    <row r="11" customFormat="false" ht="15" hidden="false" customHeight="false" outlineLevel="0" collapsed="false">
      <c r="A11" s="5" t="s">
        <v>11</v>
      </c>
      <c r="B11" s="6" t="n">
        <f aca="false">Manuales!F33</f>
        <v>6.288575</v>
      </c>
    </row>
    <row r="12" customFormat="false" ht="15" hidden="false" customHeight="false" outlineLevel="0" collapsed="false">
      <c r="A12" s="5" t="s">
        <v>12</v>
      </c>
      <c r="B12" s="6" t="n">
        <f aca="false">Manuales!F39</f>
        <v>1.75</v>
      </c>
    </row>
    <row r="13" customFormat="false" ht="15" hidden="false" customHeight="false" outlineLevel="0" collapsed="false">
      <c r="A13" s="5" t="s">
        <v>13</v>
      </c>
      <c r="B13" s="6" t="n">
        <f aca="false">Manuales!F43</f>
        <v>10.31</v>
      </c>
    </row>
    <row r="14" customFormat="false" ht="15" hidden="false" customHeight="false" outlineLevel="0" collapsed="false">
      <c r="A14" s="5" t="s">
        <v>14</v>
      </c>
      <c r="B14" s="6" t="n">
        <f aca="false">Manuales!F49</f>
        <v>0</v>
      </c>
    </row>
    <row r="15" customFormat="false" ht="15" hidden="false" customHeight="false" outlineLevel="0" collapsed="false">
      <c r="A15" s="5" t="s">
        <v>15</v>
      </c>
      <c r="B15" s="6" t="n">
        <f aca="false">Manuales!F52</f>
        <v>6.76</v>
      </c>
    </row>
    <row r="16" customFormat="false" ht="15" hidden="false" customHeight="false" outlineLevel="0" collapsed="false">
      <c r="A16" s="5" t="s">
        <v>16</v>
      </c>
      <c r="B16" s="6" t="n">
        <f aca="false">Manuales!F56</f>
        <v>0</v>
      </c>
    </row>
    <row r="17" customFormat="false" ht="15" hidden="false" customHeight="false" outlineLevel="0" collapsed="false">
      <c r="A17" s="5" t="s">
        <v>17</v>
      </c>
      <c r="B17" s="6" t="n">
        <f aca="false">Manuales!F59</f>
        <v>0</v>
      </c>
    </row>
    <row r="18" customFormat="false" ht="15" hidden="false" customHeight="false" outlineLevel="0" collapsed="false">
      <c r="A18" s="5" t="s">
        <v>18</v>
      </c>
      <c r="B18" s="6" t="n">
        <f aca="false">Manuales!F62</f>
        <v>35.54</v>
      </c>
    </row>
    <row r="19" customFormat="false" ht="15" hidden="false" customHeight="false" outlineLevel="0" collapsed="false">
      <c r="A19" s="5" t="s">
        <v>19</v>
      </c>
      <c r="B19" s="6" t="n">
        <f aca="false">Manuales!F69</f>
        <v>4.1062</v>
      </c>
    </row>
    <row r="20" customFormat="false" ht="15" hidden="false" customHeight="false" outlineLevel="0" collapsed="false">
      <c r="A20" s="5" t="s">
        <v>20</v>
      </c>
      <c r="B20" s="6" t="n">
        <f aca="false">Manuales!F74</f>
        <v>3.395</v>
      </c>
    </row>
    <row r="21" customFormat="false" ht="15" hidden="false" customHeight="false" outlineLevel="0" collapsed="false">
      <c r="A21" s="5" t="s">
        <v>21</v>
      </c>
      <c r="B21" s="6" t="n">
        <f aca="false">Manuales!F79</f>
        <v>3.07</v>
      </c>
    </row>
    <row r="22" customFormat="false" ht="15" hidden="false" customHeight="false" outlineLevel="0" collapsed="false">
      <c r="A22" s="5" t="s">
        <v>22</v>
      </c>
      <c r="B22" s="6" t="n">
        <f aca="false">Manuales!F84</f>
        <v>3.43</v>
      </c>
    </row>
    <row r="23" customFormat="false" ht="15" hidden="false" customHeight="false" outlineLevel="0" collapsed="false">
      <c r="A23" s="5" t="s">
        <v>23</v>
      </c>
      <c r="B23" s="6" t="n">
        <f aca="false">Manuales!F89</f>
        <v>3.3625</v>
      </c>
    </row>
    <row r="24" customFormat="false" ht="15" hidden="false" customHeight="false" outlineLevel="0" collapsed="false">
      <c r="A24" s="5" t="s">
        <v>24</v>
      </c>
      <c r="B24" s="6" t="n">
        <f aca="false">Manuales!F94</f>
        <v>8.8084</v>
      </c>
    </row>
    <row r="25" customFormat="false" ht="15" hidden="false" customHeight="false" outlineLevel="0" collapsed="false">
      <c r="A25" s="7" t="s">
        <v>25</v>
      </c>
      <c r="B25" s="8" t="n">
        <f aca="false">SUM(B5:B24)</f>
        <v>114.710675</v>
      </c>
    </row>
    <row r="27" customFormat="false" ht="15" hidden="false" customHeight="false" outlineLevel="0" collapsed="false">
      <c r="A27" s="4" t="s">
        <v>26</v>
      </c>
      <c r="B27" s="4"/>
    </row>
    <row r="28" customFormat="false" ht="15" hidden="false" customHeight="false" outlineLevel="0" collapsed="false">
      <c r="A28" s="5" t="s">
        <v>27</v>
      </c>
      <c r="B28" s="6" t="n">
        <f aca="false">Carros!F5</f>
        <v>9.25924285714286</v>
      </c>
    </row>
    <row r="29" customFormat="false" ht="15" hidden="false" customHeight="false" outlineLevel="0" collapsed="false">
      <c r="A29" s="5" t="s">
        <v>28</v>
      </c>
      <c r="B29" s="6" t="n">
        <f aca="false">Carros!F9</f>
        <v>0.575185714285714</v>
      </c>
    </row>
    <row r="30" customFormat="false" ht="15" hidden="false" customHeight="false" outlineLevel="0" collapsed="false">
      <c r="A30" s="5" t="s">
        <v>29</v>
      </c>
      <c r="B30" s="6" t="n">
        <f aca="false">Carros!F14</f>
        <v>3.0036</v>
      </c>
    </row>
    <row r="31" customFormat="false" ht="15" hidden="false" customHeight="false" outlineLevel="0" collapsed="false">
      <c r="A31" s="5" t="s">
        <v>30</v>
      </c>
      <c r="B31" s="6" t="n">
        <f aca="false">Carros!F18</f>
        <v>0.471642857142857</v>
      </c>
    </row>
    <row r="32" customFormat="false" ht="15" hidden="false" customHeight="false" outlineLevel="0" collapsed="false">
      <c r="A32" s="5" t="s">
        <v>31</v>
      </c>
      <c r="B32" s="6" t="n">
        <f aca="false">Carros!F22</f>
        <v>2.41761428571429</v>
      </c>
    </row>
    <row r="33" customFormat="false" ht="15" hidden="false" customHeight="false" outlineLevel="0" collapsed="false">
      <c r="A33" s="5" t="s">
        <v>32</v>
      </c>
      <c r="B33" s="6" t="n">
        <f aca="false">Carros!F27</f>
        <v>0.398828571428571</v>
      </c>
    </row>
    <row r="34" customFormat="false" ht="15" hidden="false" customHeight="false" outlineLevel="0" collapsed="false">
      <c r="A34" s="5" t="s">
        <v>33</v>
      </c>
      <c r="B34" s="6" t="n">
        <f aca="false">Carros!F32</f>
        <v>0</v>
      </c>
    </row>
    <row r="35" customFormat="false" ht="15" hidden="false" customHeight="false" outlineLevel="0" collapsed="false">
      <c r="A35" s="5" t="s">
        <v>34</v>
      </c>
      <c r="B35" s="6" t="n">
        <f aca="false">Carros!F35</f>
        <v>12.65</v>
      </c>
    </row>
    <row r="36" customFormat="false" ht="15" hidden="false" customHeight="false" outlineLevel="0" collapsed="false">
      <c r="A36" s="5" t="s">
        <v>35</v>
      </c>
      <c r="B36" s="6" t="n">
        <f aca="false">Carros!F38</f>
        <v>12.65</v>
      </c>
    </row>
    <row r="37" customFormat="false" ht="15" hidden="false" customHeight="false" outlineLevel="0" collapsed="false">
      <c r="A37" s="5" t="s">
        <v>36</v>
      </c>
      <c r="B37" s="6" t="n">
        <f aca="false">Carros!F41</f>
        <v>0.3162</v>
      </c>
    </row>
    <row r="38" customFormat="false" ht="15" hidden="false" customHeight="false" outlineLevel="0" collapsed="false">
      <c r="A38" s="5" t="s">
        <v>37</v>
      </c>
      <c r="B38" s="6" t="n">
        <f aca="false">Carros!F44</f>
        <v>0</v>
      </c>
    </row>
    <row r="39" customFormat="false" ht="15" hidden="false" customHeight="false" outlineLevel="0" collapsed="false">
      <c r="A39" s="5" t="s">
        <v>38</v>
      </c>
      <c r="B39" s="6" t="n">
        <f aca="false">Carros!F47</f>
        <v>0</v>
      </c>
    </row>
    <row r="40" customFormat="false" ht="15" hidden="false" customHeight="false" outlineLevel="0" collapsed="false">
      <c r="A40" s="7" t="s">
        <v>39</v>
      </c>
      <c r="B40" s="8" t="n">
        <f aca="false">SUM(B28:B39)</f>
        <v>41.7423142857143</v>
      </c>
    </row>
    <row r="42" customFormat="false" ht="15" hidden="false" customHeight="false" outlineLevel="0" collapsed="false">
      <c r="A42" s="4" t="s">
        <v>40</v>
      </c>
      <c r="B42" s="4"/>
    </row>
    <row r="43" customFormat="false" ht="15" hidden="false" customHeight="false" outlineLevel="0" collapsed="false">
      <c r="A43" s="5" t="s">
        <v>41</v>
      </c>
      <c r="B43" s="6" t="n">
        <f aca="false">Recargas!F5</f>
        <v>2.4</v>
      </c>
    </row>
    <row r="44" customFormat="false" ht="15" hidden="false" customHeight="false" outlineLevel="0" collapsed="false">
      <c r="A44" s="5" t="s">
        <v>42</v>
      </c>
      <c r="B44" s="6" t="n">
        <f aca="false">Recargas!F9</f>
        <v>1.2</v>
      </c>
    </row>
    <row r="45" customFormat="false" ht="15" hidden="false" customHeight="false" outlineLevel="0" collapsed="false">
      <c r="A45" s="5" t="s">
        <v>43</v>
      </c>
      <c r="B45" s="6" t="n">
        <f aca="false">Recargas!F13</f>
        <v>1.52</v>
      </c>
    </row>
    <row r="46" customFormat="false" ht="15" hidden="false" customHeight="false" outlineLevel="0" collapsed="false">
      <c r="A46" s="5" t="s">
        <v>44</v>
      </c>
      <c r="B46" s="6" t="n">
        <f aca="false">Recargas!F17</f>
        <v>1.2</v>
      </c>
    </row>
    <row r="47" customFormat="false" ht="15" hidden="false" customHeight="false" outlineLevel="0" collapsed="false">
      <c r="A47" s="5" t="s">
        <v>45</v>
      </c>
      <c r="B47" s="6" t="n">
        <f aca="false">Recargas!F21</f>
        <v>1.548</v>
      </c>
    </row>
    <row r="48" customFormat="false" ht="15" hidden="false" customHeight="false" outlineLevel="0" collapsed="false">
      <c r="A48" s="5" t="s">
        <v>46</v>
      </c>
      <c r="B48" s="6" t="n">
        <f aca="false">Recargas!F25</f>
        <v>1.5575</v>
      </c>
    </row>
    <row r="49" customFormat="false" ht="15" hidden="false" customHeight="false" outlineLevel="0" collapsed="false">
      <c r="A49" s="5" t="s">
        <v>47</v>
      </c>
      <c r="B49" s="6" t="n">
        <f aca="false">Recargas!F29</f>
        <v>1.2</v>
      </c>
    </row>
    <row r="50" customFormat="false" ht="15" hidden="false" customHeight="false" outlineLevel="0" collapsed="false">
      <c r="A50" s="5" t="s">
        <v>48</v>
      </c>
      <c r="B50" s="6" t="n">
        <f aca="false">Recargas!F33</f>
        <v>1.2</v>
      </c>
    </row>
    <row r="51" customFormat="false" ht="15" hidden="false" customHeight="false" outlineLevel="0" collapsed="false">
      <c r="A51" s="5" t="s">
        <v>49</v>
      </c>
      <c r="B51" s="6" t="n">
        <f aca="false">Recargas!F37</f>
        <v>1.2</v>
      </c>
    </row>
    <row r="52" customFormat="false" ht="15" hidden="false" customHeight="false" outlineLevel="0" collapsed="false">
      <c r="A52" s="5" t="s">
        <v>50</v>
      </c>
      <c r="B52" s="6" t="n">
        <f aca="false">Recargas!F41</f>
        <v>1.2</v>
      </c>
    </row>
    <row r="53" customFormat="false" ht="15" hidden="false" customHeight="false" outlineLevel="0" collapsed="false">
      <c r="A53" s="5" t="s">
        <v>51</v>
      </c>
      <c r="B53" s="6" t="n">
        <f aca="false">Recargas!F45</f>
        <v>2.3143</v>
      </c>
    </row>
    <row r="54" customFormat="false" ht="15" hidden="false" customHeight="false" outlineLevel="0" collapsed="false">
      <c r="A54" s="5" t="s">
        <v>52</v>
      </c>
      <c r="B54" s="6" t="n">
        <f aca="false">Recargas!F50</f>
        <v>1.66</v>
      </c>
    </row>
    <row r="55" customFormat="false" ht="15" hidden="false" customHeight="false" outlineLevel="0" collapsed="false">
      <c r="A55" s="5" t="s">
        <v>53</v>
      </c>
      <c r="B55" s="6" t="n">
        <f aca="false">Recargas!F54</f>
        <v>1.2</v>
      </c>
    </row>
    <row r="56" customFormat="false" ht="15" hidden="false" customHeight="false" outlineLevel="0" collapsed="false">
      <c r="A56" s="5" t="s">
        <v>54</v>
      </c>
      <c r="B56" s="6" t="n">
        <f aca="false">Recargas!F58</f>
        <v>1.2</v>
      </c>
    </row>
    <row r="57" customFormat="false" ht="15" hidden="false" customHeight="false" outlineLevel="0" collapsed="false">
      <c r="A57" s="5" t="s">
        <v>55</v>
      </c>
      <c r="B57" s="6" t="n">
        <f aca="false">Recargas!F62</f>
        <v>1.8324</v>
      </c>
    </row>
    <row r="58" customFormat="false" ht="15" hidden="false" customHeight="false" outlineLevel="0" collapsed="false">
      <c r="A58" s="5" t="s">
        <v>56</v>
      </c>
      <c r="B58" s="6" t="n">
        <f aca="false">Recargas!F66</f>
        <v>1.732</v>
      </c>
    </row>
    <row r="59" customFormat="false" ht="15" hidden="false" customHeight="false" outlineLevel="0" collapsed="false">
      <c r="A59" s="5" t="s">
        <v>57</v>
      </c>
      <c r="B59" s="6" t="n">
        <f aca="false">Recargas!F70</f>
        <v>1.4925</v>
      </c>
    </row>
    <row r="60" customFormat="false" ht="15" hidden="false" customHeight="false" outlineLevel="0" collapsed="false">
      <c r="A60" s="5" t="s">
        <v>58</v>
      </c>
      <c r="B60" s="6" t="n">
        <f aca="false">Recargas!F74</f>
        <v>1.2</v>
      </c>
    </row>
    <row r="61" customFormat="false" ht="15" hidden="false" customHeight="false" outlineLevel="0" collapsed="false">
      <c r="A61" s="5" t="s">
        <v>59</v>
      </c>
      <c r="B61" s="6" t="n">
        <f aca="false">Recargas!F78</f>
        <v>1.2</v>
      </c>
    </row>
    <row r="62" customFormat="false" ht="15" hidden="false" customHeight="false" outlineLevel="0" collapsed="false">
      <c r="A62" s="5" t="s">
        <v>60</v>
      </c>
      <c r="B62" s="6" t="n">
        <f aca="false">Recargas!F82</f>
        <v>6</v>
      </c>
    </row>
    <row r="63" customFormat="false" ht="15" hidden="false" customHeight="false" outlineLevel="0" collapsed="false">
      <c r="A63" s="5" t="s">
        <v>61</v>
      </c>
      <c r="B63" s="6" t="n">
        <f aca="false">Recargas!F86</f>
        <v>1.2</v>
      </c>
    </row>
    <row r="64" customFormat="false" ht="15" hidden="false" customHeight="false" outlineLevel="0" collapsed="false">
      <c r="A64" s="5" t="s">
        <v>62</v>
      </c>
      <c r="B64" s="6" t="n">
        <f aca="false">Recargas!F90</f>
        <v>1.2</v>
      </c>
    </row>
    <row r="65" customFormat="false" ht="15" hidden="false" customHeight="false" outlineLevel="0" collapsed="false">
      <c r="A65" s="5" t="s">
        <v>63</v>
      </c>
      <c r="B65" s="6" t="n">
        <f aca="false">Recargas!F94</f>
        <v>1.2</v>
      </c>
    </row>
    <row r="66" customFormat="false" ht="15" hidden="false" customHeight="false" outlineLevel="0" collapsed="false">
      <c r="A66" s="5" t="s">
        <v>64</v>
      </c>
      <c r="B66" s="6" t="n">
        <f aca="false">Recargas!F98</f>
        <v>24</v>
      </c>
    </row>
    <row r="67" customFormat="false" ht="15" hidden="false" customHeight="false" outlineLevel="0" collapsed="false">
      <c r="A67" s="7" t="s">
        <v>65</v>
      </c>
      <c r="B67" s="8" t="n">
        <f aca="false">SUM(B43:B66)</f>
        <v>61.6567</v>
      </c>
    </row>
    <row r="69" customFormat="false" ht="15" hidden="false" customHeight="false" outlineLevel="0" collapsed="false">
      <c r="A69" s="4" t="s">
        <v>66</v>
      </c>
      <c r="B69" s="4"/>
    </row>
    <row r="70" customFormat="false" ht="15" hidden="false" customHeight="false" outlineLevel="0" collapsed="false">
      <c r="A70" s="5" t="s">
        <v>67</v>
      </c>
      <c r="B70" s="6" t="n">
        <f aca="false">Compartidos!G5</f>
        <v>6.3826</v>
      </c>
    </row>
    <row r="71" customFormat="false" ht="15" hidden="false" customHeight="false" outlineLevel="0" collapsed="false">
      <c r="A71" s="5" t="s">
        <v>68</v>
      </c>
      <c r="B71" s="6" t="n">
        <f aca="false">Compartidos!G8</f>
        <v>9.182</v>
      </c>
    </row>
    <row r="72" customFormat="false" ht="15" hidden="false" customHeight="false" outlineLevel="0" collapsed="false">
      <c r="A72" s="5" t="s">
        <v>69</v>
      </c>
      <c r="B72" s="6" t="n">
        <f aca="false">Compartidos!G13</f>
        <v>4.035</v>
      </c>
    </row>
    <row r="73" customFormat="false" ht="15" hidden="false" customHeight="false" outlineLevel="0" collapsed="false">
      <c r="A73" s="5" t="s">
        <v>70</v>
      </c>
      <c r="B73" s="6" t="n">
        <f aca="false">Compartidos!G17</f>
        <v>3.87</v>
      </c>
    </row>
    <row r="74" customFormat="false" ht="15" hidden="false" customHeight="false" outlineLevel="0" collapsed="false">
      <c r="A74" s="5" t="s">
        <v>71</v>
      </c>
      <c r="B74" s="6" t="n">
        <f aca="false">Compartidos!G22</f>
        <v>5.04</v>
      </c>
    </row>
    <row r="75" customFormat="false" ht="15" hidden="false" customHeight="false" outlineLevel="0" collapsed="false">
      <c r="A75" s="7" t="s">
        <v>72</v>
      </c>
      <c r="B75" s="8" t="n">
        <f aca="false">SUM(B70:B74)</f>
        <v>28.5096</v>
      </c>
    </row>
    <row r="77" customFormat="false" ht="15" hidden="false" customHeight="false" outlineLevel="0" collapsed="false">
      <c r="A77" s="4" t="s">
        <v>73</v>
      </c>
      <c r="B77" s="9" t="n">
        <f aca="false">B25+B40+B67+B75</f>
        <v>246.619289285714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6"/>
    <col collapsed="false" customWidth="true" hidden="false" outlineLevel="0" max="6" min="4" style="0" width="9"/>
    <col collapsed="false" customWidth="true" hidden="false" outlineLevel="0" max="7" min="7" style="0" width="10"/>
    <col collapsed="false" customWidth="true" hidden="false" outlineLevel="0" max="8" min="8" style="0" width="40"/>
    <col collapsed="false" customWidth="true" hidden="false" outlineLevel="0" max="9" min="9" style="0" width="34"/>
    <col collapsed="false" customWidth="true" hidden="false" outlineLevel="0" max="10" min="10" style="0" width="52"/>
  </cols>
  <sheetData>
    <row r="1" customFormat="false" ht="16.15" hidden="false" customHeight="false" outlineLevel="0" collapsed="false">
      <c r="A1" s="1" t="s">
        <v>74</v>
      </c>
    </row>
    <row r="2" customFormat="false" ht="15" hidden="false" customHeight="false" outlineLevel="0" collapsed="false">
      <c r="A2" s="2" t="s">
        <v>75</v>
      </c>
    </row>
    <row r="4" customFormat="false" ht="15" hidden="false" customHeight="false" outlineLevel="0" collapsed="false">
      <c r="A4" s="3" t="s">
        <v>76</v>
      </c>
      <c r="B4" s="3" t="s">
        <v>77</v>
      </c>
      <c r="C4" s="3" t="s">
        <v>78</v>
      </c>
      <c r="D4" s="3" t="s">
        <v>79</v>
      </c>
      <c r="E4" s="3" t="s">
        <v>80</v>
      </c>
      <c r="F4" s="3" t="s">
        <v>81</v>
      </c>
      <c r="G4" s="3" t="s">
        <v>82</v>
      </c>
      <c r="H4" s="3" t="s">
        <v>83</v>
      </c>
      <c r="I4" s="3" t="s">
        <v>84</v>
      </c>
      <c r="J4" s="3" t="s">
        <v>85</v>
      </c>
    </row>
    <row r="5" customFormat="false" ht="35.05" hidden="false" customHeight="false" outlineLevel="0" collapsed="false">
      <c r="A5" s="4" t="s">
        <v>67</v>
      </c>
      <c r="B5" s="4"/>
      <c r="C5" s="4"/>
      <c r="D5" s="4"/>
      <c r="E5" s="4"/>
      <c r="F5" s="4"/>
      <c r="G5" s="9" t="n">
        <f aca="false">SUM(G6:G6)</f>
        <v>6.3826</v>
      </c>
      <c r="H5" s="4"/>
      <c r="I5" s="4" t="s">
        <v>86</v>
      </c>
      <c r="J5" s="4"/>
    </row>
    <row r="6" customFormat="false" ht="35.05" hidden="false" customHeight="false" outlineLevel="0" collapsed="false">
      <c r="A6" s="10" t="s">
        <v>87</v>
      </c>
      <c r="B6" s="10" t="s">
        <v>88</v>
      </c>
      <c r="C6" s="10" t="n">
        <v>1</v>
      </c>
      <c r="D6" s="11" t="n">
        <v>1.88</v>
      </c>
      <c r="E6" s="11" t="n">
        <v>3.395</v>
      </c>
      <c r="F6" s="11" t="n">
        <v>1.55</v>
      </c>
      <c r="G6" s="11" t="n">
        <f aca="false">C6*D6*E6</f>
        <v>6.3826</v>
      </c>
      <c r="H6" s="10" t="s">
        <v>89</v>
      </c>
      <c r="I6" s="10" t="s">
        <v>90</v>
      </c>
      <c r="J6" s="12" t="s">
        <v>91</v>
      </c>
    </row>
    <row r="8" customFormat="false" ht="35.05" hidden="false" customHeight="false" outlineLevel="0" collapsed="false">
      <c r="A8" s="4" t="s">
        <v>68</v>
      </c>
      <c r="B8" s="4"/>
      <c r="C8" s="4"/>
      <c r="D8" s="4"/>
      <c r="E8" s="4"/>
      <c r="F8" s="4"/>
      <c r="G8" s="9" t="n">
        <f aca="false">SUM(G9:G11)</f>
        <v>9.182</v>
      </c>
      <c r="H8" s="4"/>
      <c r="I8" s="4" t="s">
        <v>92</v>
      </c>
      <c r="J8" s="4"/>
    </row>
    <row r="9" customFormat="false" ht="35.05" hidden="false" customHeight="false" outlineLevel="0" collapsed="false">
      <c r="A9" s="5" t="s">
        <v>93</v>
      </c>
      <c r="B9" s="5" t="s">
        <v>88</v>
      </c>
      <c r="C9" s="5" t="n">
        <v>1</v>
      </c>
      <c r="D9" s="6" t="n">
        <v>1.62</v>
      </c>
      <c r="E9" s="6" t="n">
        <v>3.1</v>
      </c>
      <c r="F9" s="6" t="n">
        <v>1.6</v>
      </c>
      <c r="G9" s="6" t="n">
        <f aca="false">C9*D9*E9</f>
        <v>5.022</v>
      </c>
      <c r="H9" s="5" t="s">
        <v>94</v>
      </c>
      <c r="I9" s="5" t="s">
        <v>95</v>
      </c>
      <c r="J9" s="13" t="s">
        <v>96</v>
      </c>
    </row>
    <row r="10" customFormat="false" ht="57.45" hidden="false" customHeight="false" outlineLevel="0" collapsed="false">
      <c r="A10" s="5" t="s">
        <v>97</v>
      </c>
      <c r="B10" s="5" t="s">
        <v>88</v>
      </c>
      <c r="C10" s="5" t="n">
        <v>1</v>
      </c>
      <c r="D10" s="6" t="n">
        <v>1.3</v>
      </c>
      <c r="E10" s="6" t="n">
        <v>2.5</v>
      </c>
      <c r="F10" s="6" t="n">
        <v>0.35</v>
      </c>
      <c r="G10" s="6" t="n">
        <f aca="false">C10*D10*E10</f>
        <v>3.25</v>
      </c>
      <c r="H10" s="5" t="s">
        <v>98</v>
      </c>
      <c r="I10" s="5" t="s">
        <v>99</v>
      </c>
      <c r="J10" s="13" t="s">
        <v>100</v>
      </c>
    </row>
    <row r="11" customFormat="false" ht="46.25" hidden="false" customHeight="false" outlineLevel="0" collapsed="false">
      <c r="A11" s="10" t="s">
        <v>101</v>
      </c>
      <c r="B11" s="10" t="s">
        <v>88</v>
      </c>
      <c r="C11" s="10" t="n">
        <v>1</v>
      </c>
      <c r="D11" s="11" t="n">
        <v>0.7</v>
      </c>
      <c r="E11" s="11" t="n">
        <v>1.3</v>
      </c>
      <c r="F11" s="12" t="s">
        <v>102</v>
      </c>
      <c r="G11" s="11" t="n">
        <f aca="false">C11*D11*E11</f>
        <v>0.91</v>
      </c>
      <c r="H11" s="10" t="s">
        <v>103</v>
      </c>
      <c r="I11" s="10" t="s">
        <v>104</v>
      </c>
      <c r="J11" s="12" t="s">
        <v>105</v>
      </c>
    </row>
    <row r="13" customFormat="false" ht="35.05" hidden="false" customHeight="false" outlineLevel="0" collapsed="false">
      <c r="A13" s="4" t="s">
        <v>69</v>
      </c>
      <c r="B13" s="4"/>
      <c r="C13" s="4"/>
      <c r="D13" s="4"/>
      <c r="E13" s="4"/>
      <c r="F13" s="4"/>
      <c r="G13" s="9" t="n">
        <f aca="false">SUM(G14:G15)</f>
        <v>4.035</v>
      </c>
      <c r="H13" s="4"/>
      <c r="I13" s="4" t="s">
        <v>106</v>
      </c>
      <c r="J13" s="4"/>
    </row>
    <row r="14" customFormat="false" ht="23.85" hidden="false" customHeight="false" outlineLevel="0" collapsed="false">
      <c r="A14" s="5" t="s">
        <v>107</v>
      </c>
      <c r="B14" s="5" t="s">
        <v>88</v>
      </c>
      <c r="C14" s="5" t="n">
        <v>2</v>
      </c>
      <c r="D14" s="6" t="n">
        <v>0.75</v>
      </c>
      <c r="E14" s="6" t="n">
        <v>1.25</v>
      </c>
      <c r="F14" s="6" t="n">
        <v>1.2</v>
      </c>
      <c r="G14" s="6" t="n">
        <f aca="false">C14*D14*E14</f>
        <v>1.875</v>
      </c>
      <c r="H14" s="5" t="s">
        <v>108</v>
      </c>
      <c r="I14" s="5" t="s">
        <v>109</v>
      </c>
      <c r="J14" s="13" t="s">
        <v>110</v>
      </c>
    </row>
    <row r="15" customFormat="false" ht="35.05" hidden="false" customHeight="false" outlineLevel="0" collapsed="false">
      <c r="A15" s="10" t="s">
        <v>111</v>
      </c>
      <c r="B15" s="10" t="s">
        <v>88</v>
      </c>
      <c r="C15" s="10" t="n">
        <v>3</v>
      </c>
      <c r="D15" s="11" t="n">
        <v>0.6</v>
      </c>
      <c r="E15" s="11" t="n">
        <v>1.2</v>
      </c>
      <c r="F15" s="11" t="n">
        <v>2</v>
      </c>
      <c r="G15" s="11" t="n">
        <f aca="false">C15*D15*E15</f>
        <v>2.16</v>
      </c>
      <c r="H15" s="10" t="s">
        <v>112</v>
      </c>
      <c r="I15" s="10" t="s">
        <v>113</v>
      </c>
      <c r="J15" s="12"/>
    </row>
    <row r="17" customFormat="false" ht="35.05" hidden="false" customHeight="false" outlineLevel="0" collapsed="false">
      <c r="A17" s="4" t="s">
        <v>70</v>
      </c>
      <c r="B17" s="4"/>
      <c r="C17" s="4"/>
      <c r="D17" s="4"/>
      <c r="E17" s="4"/>
      <c r="F17" s="4"/>
      <c r="G17" s="9" t="n">
        <f aca="false">SUM(G18:G20)</f>
        <v>3.87</v>
      </c>
      <c r="H17" s="4"/>
      <c r="I17" s="4" t="s">
        <v>114</v>
      </c>
      <c r="J17" s="4"/>
    </row>
    <row r="18" customFormat="false" ht="15" hidden="false" customHeight="false" outlineLevel="0" collapsed="false">
      <c r="A18" s="5" t="s">
        <v>115</v>
      </c>
      <c r="B18" s="5" t="s">
        <v>88</v>
      </c>
      <c r="C18" s="5" t="n">
        <v>2</v>
      </c>
      <c r="D18" s="6" t="n">
        <v>0.4</v>
      </c>
      <c r="E18" s="6" t="n">
        <v>0.95</v>
      </c>
      <c r="F18" s="6" t="n">
        <v>1.05</v>
      </c>
      <c r="G18" s="6" t="n">
        <f aca="false">C18*D18*E18</f>
        <v>0.76</v>
      </c>
      <c r="H18" s="5" t="s">
        <v>116</v>
      </c>
      <c r="I18" s="5" t="s">
        <v>117</v>
      </c>
      <c r="J18" s="13" t="s">
        <v>118</v>
      </c>
    </row>
    <row r="19" customFormat="false" ht="15" hidden="false" customHeight="false" outlineLevel="0" collapsed="false">
      <c r="A19" s="5" t="s">
        <v>119</v>
      </c>
      <c r="B19" s="5" t="s">
        <v>88</v>
      </c>
      <c r="C19" s="5" t="n">
        <v>1</v>
      </c>
      <c r="D19" s="6" t="n">
        <v>0.4</v>
      </c>
      <c r="E19" s="6" t="n">
        <v>0.95</v>
      </c>
      <c r="F19" s="6" t="n">
        <v>1.05</v>
      </c>
      <c r="G19" s="6" t="n">
        <f aca="false">C19*D19*E19</f>
        <v>0.38</v>
      </c>
      <c r="H19" s="5" t="s">
        <v>116</v>
      </c>
      <c r="I19" s="5" t="s">
        <v>117</v>
      </c>
      <c r="J19" s="13" t="s">
        <v>120</v>
      </c>
    </row>
    <row r="20" customFormat="false" ht="46.25" hidden="false" customHeight="false" outlineLevel="0" collapsed="false">
      <c r="A20" s="10" t="s">
        <v>121</v>
      </c>
      <c r="B20" s="10" t="s">
        <v>88</v>
      </c>
      <c r="C20" s="10" t="n">
        <v>3</v>
      </c>
      <c r="D20" s="11" t="n">
        <v>0.7</v>
      </c>
      <c r="E20" s="11" t="n">
        <v>1.3</v>
      </c>
      <c r="F20" s="12" t="s">
        <v>102</v>
      </c>
      <c r="G20" s="11" t="n">
        <f aca="false">C20*D20*E20</f>
        <v>2.73</v>
      </c>
      <c r="H20" s="10" t="s">
        <v>103</v>
      </c>
      <c r="I20" s="10" t="s">
        <v>122</v>
      </c>
      <c r="J20" s="12" t="s">
        <v>105</v>
      </c>
    </row>
    <row r="22" customFormat="false" ht="35.05" hidden="false" customHeight="false" outlineLevel="0" collapsed="false">
      <c r="A22" s="4" t="s">
        <v>71</v>
      </c>
      <c r="B22" s="4"/>
      <c r="C22" s="4"/>
      <c r="D22" s="4"/>
      <c r="E22" s="4"/>
      <c r="F22" s="4"/>
      <c r="G22" s="9" t="n">
        <f aca="false">SUM(G23:G25)</f>
        <v>5.04</v>
      </c>
      <c r="H22" s="4"/>
      <c r="I22" s="4" t="s">
        <v>123</v>
      </c>
      <c r="J22" s="4"/>
    </row>
    <row r="23" customFormat="false" ht="23.85" hidden="false" customHeight="false" outlineLevel="0" collapsed="false">
      <c r="A23" s="5" t="s">
        <v>124</v>
      </c>
      <c r="B23" s="5" t="s">
        <v>88</v>
      </c>
      <c r="C23" s="5" t="n">
        <v>4</v>
      </c>
      <c r="D23" s="6" t="n">
        <v>0.462</v>
      </c>
      <c r="E23" s="6" t="n">
        <v>1</v>
      </c>
      <c r="F23" s="6" t="n">
        <v>1.1</v>
      </c>
      <c r="G23" s="6" t="n">
        <f aca="false">C23*D23*E23</f>
        <v>1.848</v>
      </c>
      <c r="H23" s="5" t="s">
        <v>125</v>
      </c>
      <c r="I23" s="5" t="s">
        <v>126</v>
      </c>
      <c r="J23" s="13" t="s">
        <v>127</v>
      </c>
    </row>
    <row r="24" customFormat="false" ht="15" hidden="false" customHeight="false" outlineLevel="0" collapsed="false">
      <c r="A24" s="5" t="s">
        <v>128</v>
      </c>
      <c r="B24" s="5" t="s">
        <v>88</v>
      </c>
      <c r="C24" s="5" t="n">
        <v>1</v>
      </c>
      <c r="D24" s="6" t="n">
        <v>0.462</v>
      </c>
      <c r="E24" s="6" t="n">
        <v>1</v>
      </c>
      <c r="F24" s="6" t="n">
        <v>1.1</v>
      </c>
      <c r="G24" s="6" t="n">
        <f aca="false">C24*D24*E24</f>
        <v>0.462</v>
      </c>
      <c r="H24" s="5"/>
      <c r="I24" s="5" t="s">
        <v>129</v>
      </c>
      <c r="J24" s="13" t="s">
        <v>130</v>
      </c>
    </row>
    <row r="25" customFormat="false" ht="46.25" hidden="false" customHeight="false" outlineLevel="0" collapsed="false">
      <c r="A25" s="10" t="s">
        <v>131</v>
      </c>
      <c r="B25" s="10" t="s">
        <v>88</v>
      </c>
      <c r="C25" s="10" t="n">
        <v>3</v>
      </c>
      <c r="D25" s="11" t="n">
        <v>0.7</v>
      </c>
      <c r="E25" s="11" t="n">
        <v>1.3</v>
      </c>
      <c r="F25" s="12" t="s">
        <v>102</v>
      </c>
      <c r="G25" s="11" t="n">
        <f aca="false">C25*D25*E25</f>
        <v>2.73</v>
      </c>
      <c r="H25" s="10" t="s">
        <v>103</v>
      </c>
      <c r="I25" s="10" t="s">
        <v>132</v>
      </c>
      <c r="J25" s="12"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6"/>
    <col collapsed="false" customWidth="true" hidden="false" outlineLevel="0" max="5" min="3" style="0" width="9"/>
    <col collapsed="false" customWidth="true" hidden="false" outlineLevel="0" max="6" min="6" style="0" width="10"/>
    <col collapsed="false" customWidth="true" hidden="false" outlineLevel="0" max="7" min="7" style="0" width="40"/>
    <col collapsed="false" customWidth="true" hidden="false" outlineLevel="0" max="8" min="8" style="0" width="34"/>
    <col collapsed="false" customWidth="true" hidden="false" outlineLevel="0" max="9" min="9" style="0" width="52"/>
  </cols>
  <sheetData>
    <row r="1" customFormat="false" ht="16.15" hidden="false" customHeight="false" outlineLevel="0" collapsed="false">
      <c r="A1" s="1" t="s">
        <v>133</v>
      </c>
    </row>
    <row r="2" customFormat="false" ht="15" hidden="false" customHeight="false" outlineLevel="0" collapsed="false">
      <c r="A2" s="2" t="s">
        <v>75</v>
      </c>
    </row>
    <row r="4" customFormat="false" ht="15" hidden="false" customHeight="false" outlineLevel="0" collapsed="false">
      <c r="A4" s="3" t="s">
        <v>76</v>
      </c>
      <c r="B4" s="3" t="s">
        <v>78</v>
      </c>
      <c r="C4" s="3" t="s">
        <v>79</v>
      </c>
      <c r="D4" s="3" t="s">
        <v>80</v>
      </c>
      <c r="E4" s="3" t="s">
        <v>81</v>
      </c>
      <c r="F4" s="3" t="s">
        <v>82</v>
      </c>
      <c r="G4" s="3" t="s">
        <v>83</v>
      </c>
      <c r="H4" s="3" t="s">
        <v>84</v>
      </c>
      <c r="I4" s="3" t="s">
        <v>85</v>
      </c>
    </row>
    <row r="5" customFormat="false" ht="23.85" hidden="false" customHeight="false" outlineLevel="0" collapsed="false">
      <c r="A5" s="4" t="s">
        <v>5</v>
      </c>
      <c r="B5" s="4"/>
      <c r="C5" s="4"/>
      <c r="D5" s="4"/>
      <c r="E5" s="4"/>
      <c r="F5" s="9" t="n">
        <f aca="false">SUM(F6:F11)</f>
        <v>12.02</v>
      </c>
      <c r="G5" s="4"/>
      <c r="H5" s="4" t="s">
        <v>134</v>
      </c>
      <c r="I5" s="4"/>
    </row>
    <row r="6" customFormat="false" ht="35.05" hidden="false" customHeight="false" outlineLevel="0" collapsed="false">
      <c r="A6" s="5" t="s">
        <v>135</v>
      </c>
      <c r="B6" s="5" t="n">
        <v>1</v>
      </c>
      <c r="C6" s="6" t="n">
        <v>1.3</v>
      </c>
      <c r="D6" s="6" t="n">
        <v>1.6</v>
      </c>
      <c r="E6" s="6" t="n">
        <v>3.32</v>
      </c>
      <c r="F6" s="6" t="n">
        <f aca="false">B6*C6*D6</f>
        <v>2.08</v>
      </c>
      <c r="G6" s="5" t="s">
        <v>136</v>
      </c>
      <c r="H6" s="5" t="s">
        <v>137</v>
      </c>
      <c r="I6" s="13" t="s">
        <v>138</v>
      </c>
    </row>
    <row r="7" customFormat="false" ht="23.85" hidden="false" customHeight="false" outlineLevel="0" collapsed="false">
      <c r="A7" s="5" t="s">
        <v>139</v>
      </c>
      <c r="B7" s="5" t="n">
        <v>1</v>
      </c>
      <c r="C7" s="6" t="n">
        <v>1</v>
      </c>
      <c r="D7" s="6" t="n">
        <v>1.2</v>
      </c>
      <c r="E7" s="6" t="n">
        <v>1.3</v>
      </c>
      <c r="F7" s="6" t="n">
        <f aca="false">B7*C7*D7</f>
        <v>1.2</v>
      </c>
      <c r="G7" s="5" t="s">
        <v>140</v>
      </c>
      <c r="H7" s="5" t="s">
        <v>141</v>
      </c>
      <c r="I7" s="13" t="s">
        <v>142</v>
      </c>
    </row>
    <row r="8" customFormat="false" ht="23.85" hidden="false" customHeight="false" outlineLevel="0" collapsed="false">
      <c r="A8" s="5" t="s">
        <v>143</v>
      </c>
      <c r="B8" s="5" t="n">
        <v>1</v>
      </c>
      <c r="C8" s="6" t="n">
        <v>0.55</v>
      </c>
      <c r="D8" s="6" t="n">
        <v>0.8</v>
      </c>
      <c r="E8" s="6" t="n">
        <v>1.3</v>
      </c>
      <c r="F8" s="6" t="n">
        <f aca="false">B8*C8*D8</f>
        <v>0.44</v>
      </c>
      <c r="G8" s="5" t="s">
        <v>144</v>
      </c>
      <c r="H8" s="5" t="s">
        <v>145</v>
      </c>
      <c r="I8" s="13" t="s">
        <v>146</v>
      </c>
    </row>
    <row r="9" customFormat="false" ht="46.25" hidden="false" customHeight="false" outlineLevel="0" collapsed="false">
      <c r="A9" s="5" t="s">
        <v>147</v>
      </c>
      <c r="B9" s="5" t="n">
        <v>2</v>
      </c>
      <c r="C9" s="6" t="n">
        <v>1.2</v>
      </c>
      <c r="D9" s="6" t="n">
        <v>2.7</v>
      </c>
      <c r="E9" s="13" t="s">
        <v>102</v>
      </c>
      <c r="F9" s="6" t="n">
        <f aca="false">B9*C9*D9</f>
        <v>6.48</v>
      </c>
      <c r="G9" s="5" t="s">
        <v>148</v>
      </c>
      <c r="H9" s="5" t="s">
        <v>149</v>
      </c>
      <c r="I9" s="13" t="s">
        <v>150</v>
      </c>
    </row>
    <row r="10" customFormat="false" ht="35.05" hidden="false" customHeight="false" outlineLevel="0" collapsed="false">
      <c r="A10" s="5" t="s">
        <v>151</v>
      </c>
      <c r="B10" s="5" t="n">
        <v>1</v>
      </c>
      <c r="C10" s="6" t="n">
        <v>0.7</v>
      </c>
      <c r="D10" s="6" t="n">
        <v>1.3</v>
      </c>
      <c r="E10" s="13" t="s">
        <v>102</v>
      </c>
      <c r="F10" s="6" t="n">
        <f aca="false">B10*C10*D10</f>
        <v>0.91</v>
      </c>
      <c r="G10" s="5" t="s">
        <v>152</v>
      </c>
      <c r="H10" s="5" t="s">
        <v>153</v>
      </c>
      <c r="I10" s="13" t="s">
        <v>154</v>
      </c>
    </row>
    <row r="11" customFormat="false" ht="35.05" hidden="false" customHeight="false" outlineLevel="0" collapsed="false">
      <c r="A11" s="10" t="s">
        <v>155</v>
      </c>
      <c r="B11" s="10" t="n">
        <v>1</v>
      </c>
      <c r="C11" s="11" t="n">
        <v>0.7</v>
      </c>
      <c r="D11" s="11" t="n">
        <v>1.3</v>
      </c>
      <c r="E11" s="12" t="s">
        <v>102</v>
      </c>
      <c r="F11" s="11" t="n">
        <f aca="false">B11*C11*D11</f>
        <v>0.91</v>
      </c>
      <c r="G11" s="10" t="s">
        <v>152</v>
      </c>
      <c r="H11" s="10" t="s">
        <v>156</v>
      </c>
      <c r="I11" s="12" t="s">
        <v>154</v>
      </c>
    </row>
    <row r="13" customFormat="false" ht="23.85" hidden="false" customHeight="false" outlineLevel="0" collapsed="false">
      <c r="A13" s="4" t="s">
        <v>6</v>
      </c>
      <c r="B13" s="4"/>
      <c r="C13" s="4"/>
      <c r="D13" s="4"/>
      <c r="E13" s="4"/>
      <c r="F13" s="9" t="n">
        <f aca="false">SUM(F14:F14)</f>
        <v>0</v>
      </c>
      <c r="G13" s="4"/>
      <c r="H13" s="4" t="s">
        <v>157</v>
      </c>
      <c r="I13" s="4"/>
    </row>
    <row r="14" customFormat="false" ht="15" hidden="false" customHeight="false" outlineLevel="0" collapsed="false">
      <c r="A14" s="10" t="s">
        <v>158</v>
      </c>
      <c r="B14" s="10" t="n">
        <v>2</v>
      </c>
      <c r="C14" s="14" t="s">
        <v>102</v>
      </c>
      <c r="D14" s="14" t="s">
        <v>102</v>
      </c>
      <c r="E14" s="12" t="s">
        <v>102</v>
      </c>
      <c r="F14" s="15"/>
      <c r="G14" s="10"/>
      <c r="H14" s="10"/>
      <c r="I14" s="12" t="s">
        <v>159</v>
      </c>
    </row>
    <row r="16" customFormat="false" ht="23.85" hidden="false" customHeight="false" outlineLevel="0" collapsed="false">
      <c r="A16" s="4" t="s">
        <v>7</v>
      </c>
      <c r="B16" s="4"/>
      <c r="C16" s="4"/>
      <c r="D16" s="4"/>
      <c r="E16" s="4"/>
      <c r="F16" s="9" t="n">
        <f aca="false">SUM(F17:F19)</f>
        <v>4.03</v>
      </c>
      <c r="G16" s="4"/>
      <c r="H16" s="4" t="s">
        <v>160</v>
      </c>
      <c r="I16" s="4"/>
    </row>
    <row r="17" customFormat="false" ht="15" hidden="false" customHeight="false" outlineLevel="0" collapsed="false">
      <c r="A17" s="5" t="s">
        <v>161</v>
      </c>
      <c r="B17" s="5" t="n">
        <v>1</v>
      </c>
      <c r="C17" s="6" t="n">
        <v>1.4</v>
      </c>
      <c r="D17" s="6" t="n">
        <v>1.2</v>
      </c>
      <c r="E17" s="6" t="n">
        <v>1.58</v>
      </c>
      <c r="F17" s="6" t="n">
        <f aca="false">B17*C17*D17</f>
        <v>1.68</v>
      </c>
      <c r="G17" s="5" t="s">
        <v>162</v>
      </c>
      <c r="H17" s="5" t="s">
        <v>163</v>
      </c>
      <c r="I17" s="13" t="s">
        <v>164</v>
      </c>
    </row>
    <row r="18" customFormat="false" ht="35.05" hidden="false" customHeight="false" outlineLevel="0" collapsed="false">
      <c r="A18" s="5" t="s">
        <v>165</v>
      </c>
      <c r="B18" s="5" t="n">
        <v>2</v>
      </c>
      <c r="C18" s="6" t="n">
        <v>0.6</v>
      </c>
      <c r="D18" s="6" t="n">
        <v>1.2</v>
      </c>
      <c r="E18" s="6" t="n">
        <v>2</v>
      </c>
      <c r="F18" s="6" t="n">
        <f aca="false">B18*C18*D18</f>
        <v>1.44</v>
      </c>
      <c r="G18" s="5" t="s">
        <v>166</v>
      </c>
      <c r="H18" s="5" t="s">
        <v>167</v>
      </c>
      <c r="I18" s="13"/>
    </row>
    <row r="19" customFormat="false" ht="35.05" hidden="false" customHeight="false" outlineLevel="0" collapsed="false">
      <c r="A19" s="10" t="s">
        <v>168</v>
      </c>
      <c r="B19" s="10" t="n">
        <v>1</v>
      </c>
      <c r="C19" s="11" t="n">
        <v>0.7</v>
      </c>
      <c r="D19" s="11" t="n">
        <v>1.3</v>
      </c>
      <c r="E19" s="12" t="s">
        <v>102</v>
      </c>
      <c r="F19" s="11" t="n">
        <f aca="false">B19*C19*D19</f>
        <v>0.91</v>
      </c>
      <c r="G19" s="10" t="s">
        <v>152</v>
      </c>
      <c r="H19" s="10" t="s">
        <v>169</v>
      </c>
      <c r="I19" s="12" t="s">
        <v>154</v>
      </c>
    </row>
    <row r="21" customFormat="false" ht="23.85" hidden="false" customHeight="false" outlineLevel="0" collapsed="false">
      <c r="A21" s="4" t="s">
        <v>8</v>
      </c>
      <c r="B21" s="4"/>
      <c r="C21" s="4"/>
      <c r="D21" s="4"/>
      <c r="E21" s="4"/>
      <c r="F21" s="9" t="n">
        <f aca="false">SUM(F22:F23)</f>
        <v>3.25</v>
      </c>
      <c r="G21" s="4"/>
      <c r="H21" s="4" t="s">
        <v>170</v>
      </c>
      <c r="I21" s="4"/>
    </row>
    <row r="22" customFormat="false" ht="46.25" hidden="false" customHeight="false" outlineLevel="0" collapsed="false">
      <c r="A22" s="5" t="s">
        <v>171</v>
      </c>
      <c r="B22" s="5" t="n">
        <v>1</v>
      </c>
      <c r="C22" s="6" t="n">
        <v>1.3</v>
      </c>
      <c r="D22" s="6" t="n">
        <v>1.8</v>
      </c>
      <c r="E22" s="6" t="n">
        <v>1.25</v>
      </c>
      <c r="F22" s="6" t="n">
        <f aca="false">B22*C22*D22</f>
        <v>2.34</v>
      </c>
      <c r="G22" s="5" t="s">
        <v>172</v>
      </c>
      <c r="H22" s="5" t="s">
        <v>173</v>
      </c>
      <c r="I22" s="13" t="s">
        <v>174</v>
      </c>
    </row>
    <row r="23" customFormat="false" ht="46.25" hidden="false" customHeight="false" outlineLevel="0" collapsed="false">
      <c r="A23" s="10" t="s">
        <v>175</v>
      </c>
      <c r="B23" s="10" t="n">
        <v>1</v>
      </c>
      <c r="C23" s="11" t="n">
        <v>0.7</v>
      </c>
      <c r="D23" s="11" t="n">
        <v>1.3</v>
      </c>
      <c r="E23" s="12" t="s">
        <v>102</v>
      </c>
      <c r="F23" s="11" t="n">
        <f aca="false">B23*C23*D23</f>
        <v>0.91</v>
      </c>
      <c r="G23" s="10" t="s">
        <v>103</v>
      </c>
      <c r="H23" s="10" t="s">
        <v>176</v>
      </c>
      <c r="I23" s="12" t="s">
        <v>105</v>
      </c>
    </row>
    <row r="25" customFormat="false" ht="23.85" hidden="false" customHeight="false" outlineLevel="0" collapsed="false">
      <c r="A25" s="4" t="s">
        <v>9</v>
      </c>
      <c r="B25" s="4"/>
      <c r="C25" s="4"/>
      <c r="D25" s="4"/>
      <c r="E25" s="4"/>
      <c r="F25" s="9" t="n">
        <f aca="false">SUM(F26:F28)</f>
        <v>7.27</v>
      </c>
      <c r="G25" s="4"/>
      <c r="H25" s="4" t="s">
        <v>177</v>
      </c>
      <c r="I25" s="4"/>
    </row>
    <row r="26" customFormat="false" ht="35.05" hidden="false" customHeight="false" outlineLevel="0" collapsed="false">
      <c r="A26" s="5" t="s">
        <v>178</v>
      </c>
      <c r="B26" s="5" t="n">
        <v>1</v>
      </c>
      <c r="C26" s="6" t="n">
        <v>1</v>
      </c>
      <c r="D26" s="6" t="n">
        <v>1.32</v>
      </c>
      <c r="E26" s="6" t="n">
        <v>1.8</v>
      </c>
      <c r="F26" s="6" t="n">
        <f aca="false">B26*C26*D26</f>
        <v>1.32</v>
      </c>
      <c r="G26" s="5" t="s">
        <v>179</v>
      </c>
      <c r="H26" s="5" t="s">
        <v>180</v>
      </c>
      <c r="I26" s="13" t="s">
        <v>181</v>
      </c>
    </row>
    <row r="27" customFormat="false" ht="35.05" hidden="false" customHeight="false" outlineLevel="0" collapsed="false">
      <c r="A27" s="5" t="s">
        <v>182</v>
      </c>
      <c r="B27" s="5" t="n">
        <v>7</v>
      </c>
      <c r="C27" s="6" t="n">
        <v>0.6</v>
      </c>
      <c r="D27" s="6" t="n">
        <v>1.2</v>
      </c>
      <c r="E27" s="6" t="n">
        <v>2</v>
      </c>
      <c r="F27" s="6" t="n">
        <f aca="false">B27*C27*D27</f>
        <v>5.04</v>
      </c>
      <c r="G27" s="5" t="s">
        <v>183</v>
      </c>
      <c r="H27" s="5" t="s">
        <v>184</v>
      </c>
      <c r="I27" s="13"/>
    </row>
    <row r="28" customFormat="false" ht="46.25" hidden="false" customHeight="false" outlineLevel="0" collapsed="false">
      <c r="A28" s="10" t="s">
        <v>185</v>
      </c>
      <c r="B28" s="10" t="n">
        <v>1</v>
      </c>
      <c r="C28" s="11" t="n">
        <v>0.7</v>
      </c>
      <c r="D28" s="11" t="n">
        <v>1.3</v>
      </c>
      <c r="E28" s="12" t="s">
        <v>102</v>
      </c>
      <c r="F28" s="11" t="n">
        <f aca="false">B28*C28*D28</f>
        <v>0.91</v>
      </c>
      <c r="G28" s="10" t="s">
        <v>103</v>
      </c>
      <c r="H28" s="10" t="s">
        <v>186</v>
      </c>
      <c r="I28" s="12" t="s">
        <v>187</v>
      </c>
    </row>
    <row r="30" customFormat="false" ht="23.85" hidden="false" customHeight="false" outlineLevel="0" collapsed="false">
      <c r="A30" s="4" t="s">
        <v>10</v>
      </c>
      <c r="B30" s="4"/>
      <c r="C30" s="4"/>
      <c r="D30" s="4"/>
      <c r="E30" s="4"/>
      <c r="F30" s="9" t="n">
        <f aca="false">SUM(F31:F31)</f>
        <v>1.32</v>
      </c>
      <c r="G30" s="4"/>
      <c r="H30" s="4" t="s">
        <v>188</v>
      </c>
      <c r="I30" s="4"/>
    </row>
    <row r="31" customFormat="false" ht="23.85" hidden="false" customHeight="false" outlineLevel="0" collapsed="false">
      <c r="A31" s="10" t="s">
        <v>189</v>
      </c>
      <c r="B31" s="10" t="n">
        <v>1</v>
      </c>
      <c r="C31" s="11" t="n">
        <v>1</v>
      </c>
      <c r="D31" s="11" t="n">
        <v>1.32</v>
      </c>
      <c r="E31" s="11" t="n">
        <v>1.8</v>
      </c>
      <c r="F31" s="11" t="n">
        <f aca="false">B31*C31*D31</f>
        <v>1.32</v>
      </c>
      <c r="G31" s="10" t="s">
        <v>190</v>
      </c>
      <c r="H31" s="10" t="s">
        <v>191</v>
      </c>
      <c r="I31" s="12" t="s">
        <v>192</v>
      </c>
    </row>
    <row r="33" customFormat="false" ht="23.85" hidden="false" customHeight="false" outlineLevel="0" collapsed="false">
      <c r="A33" s="4" t="s">
        <v>11</v>
      </c>
      <c r="B33" s="4"/>
      <c r="C33" s="4"/>
      <c r="D33" s="4"/>
      <c r="E33" s="4"/>
      <c r="F33" s="9" t="n">
        <f aca="false">SUM(F34:F37)</f>
        <v>6.288575</v>
      </c>
      <c r="G33" s="4"/>
      <c r="H33" s="4" t="s">
        <v>193</v>
      </c>
      <c r="I33" s="4"/>
    </row>
    <row r="34" customFormat="false" ht="23.85" hidden="false" customHeight="false" outlineLevel="0" collapsed="false">
      <c r="A34" s="5" t="s">
        <v>194</v>
      </c>
      <c r="B34" s="5" t="n">
        <v>1</v>
      </c>
      <c r="C34" s="6" t="n">
        <v>1.315</v>
      </c>
      <c r="D34" s="6" t="n">
        <v>0.805</v>
      </c>
      <c r="E34" s="6" t="n">
        <v>2.12</v>
      </c>
      <c r="F34" s="6" t="n">
        <f aca="false">B34*C34*D34</f>
        <v>1.058575</v>
      </c>
      <c r="G34" s="5" t="s">
        <v>195</v>
      </c>
      <c r="H34" s="5" t="s">
        <v>196</v>
      </c>
      <c r="I34" s="13" t="s">
        <v>197</v>
      </c>
    </row>
    <row r="35" customFormat="false" ht="35.05" hidden="false" customHeight="false" outlineLevel="0" collapsed="false">
      <c r="A35" s="5" t="s">
        <v>198</v>
      </c>
      <c r="B35" s="5" t="n">
        <v>4</v>
      </c>
      <c r="C35" s="6" t="n">
        <v>0.6</v>
      </c>
      <c r="D35" s="6" t="n">
        <v>1.2</v>
      </c>
      <c r="E35" s="6" t="n">
        <v>2</v>
      </c>
      <c r="F35" s="6" t="n">
        <f aca="false">B35*C35*D35</f>
        <v>2.88</v>
      </c>
      <c r="G35" s="5" t="s">
        <v>199</v>
      </c>
      <c r="H35" s="5" t="s">
        <v>200</v>
      </c>
      <c r="I35" s="13"/>
    </row>
    <row r="36" customFormat="false" ht="35.05" hidden="false" customHeight="false" outlineLevel="0" collapsed="false">
      <c r="A36" s="5" t="s">
        <v>201</v>
      </c>
      <c r="B36" s="5" t="n">
        <v>2</v>
      </c>
      <c r="C36" s="6" t="n">
        <v>0.6</v>
      </c>
      <c r="D36" s="6" t="n">
        <v>1.2</v>
      </c>
      <c r="E36" s="6" t="n">
        <v>2</v>
      </c>
      <c r="F36" s="6" t="n">
        <f aca="false">B36*C36*D36</f>
        <v>1.44</v>
      </c>
      <c r="G36" s="5" t="s">
        <v>202</v>
      </c>
      <c r="H36" s="5" t="s">
        <v>203</v>
      </c>
      <c r="I36" s="13"/>
    </row>
    <row r="37" customFormat="false" ht="46.25" hidden="false" customHeight="false" outlineLevel="0" collapsed="false">
      <c r="A37" s="10" t="s">
        <v>204</v>
      </c>
      <c r="B37" s="10" t="n">
        <v>1</v>
      </c>
      <c r="C37" s="11" t="n">
        <v>0.7</v>
      </c>
      <c r="D37" s="11" t="n">
        <v>1.3</v>
      </c>
      <c r="E37" s="12" t="s">
        <v>102</v>
      </c>
      <c r="F37" s="11" t="n">
        <f aca="false">B37*C37*D37</f>
        <v>0.91</v>
      </c>
      <c r="G37" s="10" t="s">
        <v>103</v>
      </c>
      <c r="H37" s="10" t="s">
        <v>205</v>
      </c>
      <c r="I37" s="12" t="s">
        <v>187</v>
      </c>
    </row>
    <row r="39" customFormat="false" ht="23.85" hidden="false" customHeight="false" outlineLevel="0" collapsed="false">
      <c r="A39" s="4" t="s">
        <v>12</v>
      </c>
      <c r="B39" s="4"/>
      <c r="C39" s="4"/>
      <c r="D39" s="4"/>
      <c r="E39" s="4"/>
      <c r="F39" s="9" t="n">
        <f aca="false">SUM(F40:F41)</f>
        <v>1.75</v>
      </c>
      <c r="G39" s="4"/>
      <c r="H39" s="4" t="s">
        <v>206</v>
      </c>
      <c r="I39" s="4"/>
    </row>
    <row r="40" customFormat="false" ht="23.85" hidden="false" customHeight="false" outlineLevel="0" collapsed="false">
      <c r="A40" s="5" t="s">
        <v>207</v>
      </c>
      <c r="B40" s="5" t="n">
        <v>1</v>
      </c>
      <c r="C40" s="6" t="n">
        <v>0.7</v>
      </c>
      <c r="D40" s="6" t="n">
        <v>1.2</v>
      </c>
      <c r="E40" s="6" t="n">
        <v>1.2</v>
      </c>
      <c r="F40" s="6" t="n">
        <f aca="false">B40*C40*D40</f>
        <v>0.84</v>
      </c>
      <c r="G40" s="5" t="s">
        <v>208</v>
      </c>
      <c r="H40" s="5" t="s">
        <v>209</v>
      </c>
      <c r="I40" s="13" t="s">
        <v>210</v>
      </c>
    </row>
    <row r="41" customFormat="false" ht="46.25" hidden="false" customHeight="false" outlineLevel="0" collapsed="false">
      <c r="A41" s="10" t="s">
        <v>211</v>
      </c>
      <c r="B41" s="10" t="n">
        <v>1</v>
      </c>
      <c r="C41" s="11" t="n">
        <v>0.7</v>
      </c>
      <c r="D41" s="11" t="n">
        <v>1.3</v>
      </c>
      <c r="E41" s="12" t="s">
        <v>102</v>
      </c>
      <c r="F41" s="11" t="n">
        <f aca="false">B41*C41*D41</f>
        <v>0.91</v>
      </c>
      <c r="G41" s="10" t="s">
        <v>103</v>
      </c>
      <c r="H41" s="10" t="s">
        <v>212</v>
      </c>
      <c r="I41" s="12" t="s">
        <v>105</v>
      </c>
    </row>
    <row r="43" customFormat="false" ht="23.85" hidden="false" customHeight="false" outlineLevel="0" collapsed="false">
      <c r="A43" s="4" t="s">
        <v>13</v>
      </c>
      <c r="B43" s="4"/>
      <c r="C43" s="4"/>
      <c r="D43" s="4"/>
      <c r="E43" s="4"/>
      <c r="F43" s="9" t="n">
        <f aca="false">SUM(F44:F47)</f>
        <v>10.31</v>
      </c>
      <c r="G43" s="4"/>
      <c r="H43" s="4" t="s">
        <v>213</v>
      </c>
      <c r="I43" s="4"/>
    </row>
    <row r="44" customFormat="false" ht="23.85" hidden="false" customHeight="false" outlineLevel="0" collapsed="false">
      <c r="A44" s="5" t="s">
        <v>214</v>
      </c>
      <c r="B44" s="5" t="n">
        <v>2</v>
      </c>
      <c r="C44" s="16" t="s">
        <v>102</v>
      </c>
      <c r="D44" s="16" t="s">
        <v>102</v>
      </c>
      <c r="E44" s="13" t="s">
        <v>102</v>
      </c>
      <c r="G44" s="5" t="s">
        <v>215</v>
      </c>
      <c r="H44" s="5" t="s">
        <v>216</v>
      </c>
      <c r="I44" s="13" t="s">
        <v>217</v>
      </c>
    </row>
    <row r="45" customFormat="false" ht="35.05" hidden="false" customHeight="false" outlineLevel="0" collapsed="false">
      <c r="A45" s="5" t="s">
        <v>218</v>
      </c>
      <c r="B45" s="5" t="n">
        <v>1</v>
      </c>
      <c r="C45" s="6" t="n">
        <v>0.6</v>
      </c>
      <c r="D45" s="6" t="n">
        <v>1.2</v>
      </c>
      <c r="E45" s="6" t="n">
        <v>2</v>
      </c>
      <c r="F45" s="6" t="n">
        <f aca="false">B45*C45*D45</f>
        <v>0.72</v>
      </c>
      <c r="G45" s="5" t="s">
        <v>219</v>
      </c>
      <c r="H45" s="5" t="s">
        <v>220</v>
      </c>
      <c r="I45" s="13"/>
    </row>
    <row r="46" customFormat="false" ht="35.05" hidden="false" customHeight="false" outlineLevel="0" collapsed="false">
      <c r="A46" s="5" t="s">
        <v>221</v>
      </c>
      <c r="B46" s="5" t="n">
        <v>7</v>
      </c>
      <c r="C46" s="6" t="n">
        <v>0.6</v>
      </c>
      <c r="D46" s="6" t="n">
        <v>1.2</v>
      </c>
      <c r="E46" s="6" t="n">
        <v>2</v>
      </c>
      <c r="F46" s="6" t="n">
        <f aca="false">B46*C46*D46</f>
        <v>5.04</v>
      </c>
      <c r="G46" s="5" t="s">
        <v>222</v>
      </c>
      <c r="H46" s="5" t="s">
        <v>223</v>
      </c>
      <c r="I46" s="13"/>
    </row>
    <row r="47" customFormat="false" ht="46.25" hidden="false" customHeight="false" outlineLevel="0" collapsed="false">
      <c r="A47" s="10" t="s">
        <v>224</v>
      </c>
      <c r="B47" s="10" t="n">
        <v>5</v>
      </c>
      <c r="C47" s="11" t="n">
        <v>0.7</v>
      </c>
      <c r="D47" s="11" t="n">
        <v>1.3</v>
      </c>
      <c r="E47" s="12" t="s">
        <v>102</v>
      </c>
      <c r="F47" s="11" t="n">
        <f aca="false">B47*C47*D47</f>
        <v>4.55</v>
      </c>
      <c r="G47" s="10" t="s">
        <v>103</v>
      </c>
      <c r="H47" s="10" t="s">
        <v>225</v>
      </c>
      <c r="I47" s="12" t="s">
        <v>105</v>
      </c>
    </row>
    <row r="49" customFormat="false" ht="23.85" hidden="false" customHeight="false" outlineLevel="0" collapsed="false">
      <c r="A49" s="4" t="s">
        <v>14</v>
      </c>
      <c r="B49" s="4"/>
      <c r="C49" s="4"/>
      <c r="D49" s="4"/>
      <c r="E49" s="4"/>
      <c r="F49" s="9" t="n">
        <f aca="false">SUM(F50:F50)</f>
        <v>0</v>
      </c>
      <c r="G49" s="4"/>
      <c r="H49" s="4" t="s">
        <v>226</v>
      </c>
      <c r="I49" s="4"/>
    </row>
    <row r="50" customFormat="false" ht="15" hidden="false" customHeight="false" outlineLevel="0" collapsed="false">
      <c r="A50" s="10" t="s">
        <v>227</v>
      </c>
      <c r="B50" s="10" t="n">
        <v>1</v>
      </c>
      <c r="C50" s="14" t="s">
        <v>102</v>
      </c>
      <c r="D50" s="14" t="s">
        <v>102</v>
      </c>
      <c r="E50" s="12" t="s">
        <v>102</v>
      </c>
      <c r="F50" s="15"/>
      <c r="G50" s="10"/>
      <c r="H50" s="10"/>
      <c r="I50" s="12" t="s">
        <v>159</v>
      </c>
    </row>
    <row r="52" customFormat="false" ht="23.85" hidden="false" customHeight="false" outlineLevel="0" collapsed="false">
      <c r="A52" s="4" t="s">
        <v>15</v>
      </c>
      <c r="B52" s="4"/>
      <c r="C52" s="4"/>
      <c r="D52" s="4"/>
      <c r="E52" s="4"/>
      <c r="F52" s="9" t="n">
        <f aca="false">SUM(F53:F54)</f>
        <v>6.76</v>
      </c>
      <c r="G52" s="4"/>
      <c r="H52" s="4" t="s">
        <v>228</v>
      </c>
      <c r="I52" s="4"/>
    </row>
    <row r="53" customFormat="false" ht="15" hidden="false" customHeight="false" outlineLevel="0" collapsed="false">
      <c r="A53" s="5" t="s">
        <v>229</v>
      </c>
      <c r="B53" s="5" t="n">
        <v>1</v>
      </c>
      <c r="C53" s="6" t="n">
        <v>1.3</v>
      </c>
      <c r="D53" s="6" t="n">
        <v>4.5</v>
      </c>
      <c r="E53" s="6" t="n">
        <v>2.2</v>
      </c>
      <c r="F53" s="6" t="n">
        <f aca="false">B53*C53*D53</f>
        <v>5.85</v>
      </c>
      <c r="G53" s="5"/>
      <c r="H53" s="5" t="s">
        <v>230</v>
      </c>
      <c r="I53" s="13" t="s">
        <v>231</v>
      </c>
    </row>
    <row r="54" customFormat="false" ht="46.25" hidden="false" customHeight="false" outlineLevel="0" collapsed="false">
      <c r="A54" s="10" t="s">
        <v>232</v>
      </c>
      <c r="B54" s="10" t="n">
        <v>1</v>
      </c>
      <c r="C54" s="11" t="n">
        <v>0.7</v>
      </c>
      <c r="D54" s="11" t="n">
        <v>1.3</v>
      </c>
      <c r="E54" s="12" t="s">
        <v>102</v>
      </c>
      <c r="F54" s="11" t="n">
        <f aca="false">B54*C54*D54</f>
        <v>0.91</v>
      </c>
      <c r="G54" s="10" t="s">
        <v>103</v>
      </c>
      <c r="H54" s="10" t="s">
        <v>233</v>
      </c>
      <c r="I54" s="12" t="s">
        <v>105</v>
      </c>
    </row>
    <row r="56" customFormat="false" ht="23.85" hidden="false" customHeight="false" outlineLevel="0" collapsed="false">
      <c r="A56" s="4" t="s">
        <v>16</v>
      </c>
      <c r="B56" s="4"/>
      <c r="C56" s="4"/>
      <c r="D56" s="4"/>
      <c r="E56" s="4"/>
      <c r="F56" s="9" t="n">
        <f aca="false">SUM(F57:F57)</f>
        <v>0</v>
      </c>
      <c r="G56" s="4"/>
      <c r="H56" s="4" t="s">
        <v>234</v>
      </c>
      <c r="I56" s="4"/>
    </row>
    <row r="57" customFormat="false" ht="15" hidden="false" customHeight="false" outlineLevel="0" collapsed="false">
      <c r="A57" s="10" t="s">
        <v>235</v>
      </c>
      <c r="B57" s="10" t="n">
        <v>1</v>
      </c>
      <c r="C57" s="14" t="s">
        <v>102</v>
      </c>
      <c r="D57" s="14" t="s">
        <v>102</v>
      </c>
      <c r="E57" s="12" t="s">
        <v>102</v>
      </c>
      <c r="F57" s="15"/>
      <c r="G57" s="10"/>
      <c r="H57" s="10"/>
      <c r="I57" s="12" t="s">
        <v>159</v>
      </c>
    </row>
    <row r="59" customFormat="false" ht="23.85" hidden="false" customHeight="false" outlineLevel="0" collapsed="false">
      <c r="A59" s="4" t="s">
        <v>17</v>
      </c>
      <c r="B59" s="4"/>
      <c r="C59" s="4"/>
      <c r="D59" s="4"/>
      <c r="E59" s="4"/>
      <c r="F59" s="9" t="n">
        <f aca="false">SUM(F60:F60)</f>
        <v>0</v>
      </c>
      <c r="G59" s="4"/>
      <c r="H59" s="4" t="s">
        <v>236</v>
      </c>
      <c r="I59" s="4"/>
    </row>
    <row r="60" customFormat="false" ht="15" hidden="false" customHeight="false" outlineLevel="0" collapsed="false">
      <c r="A60" s="10" t="s">
        <v>237</v>
      </c>
      <c r="B60" s="10" t="n">
        <v>1</v>
      </c>
      <c r="C60" s="14" t="s">
        <v>102</v>
      </c>
      <c r="D60" s="14" t="s">
        <v>102</v>
      </c>
      <c r="E60" s="12" t="s">
        <v>102</v>
      </c>
      <c r="F60" s="15"/>
      <c r="G60" s="10"/>
      <c r="H60" s="10" t="s">
        <v>238</v>
      </c>
      <c r="I60" s="12" t="s">
        <v>239</v>
      </c>
    </row>
    <row r="62" customFormat="false" ht="23.85" hidden="false" customHeight="false" outlineLevel="0" collapsed="false">
      <c r="A62" s="4" t="s">
        <v>18</v>
      </c>
      <c r="B62" s="4"/>
      <c r="C62" s="4"/>
      <c r="D62" s="4"/>
      <c r="E62" s="4"/>
      <c r="F62" s="9" t="n">
        <f aca="false">SUM(F63:F67)</f>
        <v>35.54</v>
      </c>
      <c r="G62" s="4"/>
      <c r="H62" s="4" t="s">
        <v>240</v>
      </c>
      <c r="I62" s="4"/>
    </row>
    <row r="63" customFormat="false" ht="15" hidden="false" customHeight="false" outlineLevel="0" collapsed="false">
      <c r="A63" s="5" t="s">
        <v>241</v>
      </c>
      <c r="B63" s="5" t="n">
        <v>2</v>
      </c>
      <c r="C63" s="6" t="n">
        <v>2.44</v>
      </c>
      <c r="D63" s="6" t="n">
        <v>6</v>
      </c>
      <c r="E63" s="6" t="n">
        <v>2.44</v>
      </c>
      <c r="F63" s="6" t="n">
        <f aca="false">B63*C63*D63</f>
        <v>29.28</v>
      </c>
      <c r="G63" s="5" t="s">
        <v>242</v>
      </c>
      <c r="H63" s="5" t="s">
        <v>243</v>
      </c>
      <c r="I63" s="13" t="s">
        <v>244</v>
      </c>
    </row>
    <row r="64" customFormat="false" ht="15" hidden="false" customHeight="false" outlineLevel="0" collapsed="false">
      <c r="A64" s="5" t="s">
        <v>245</v>
      </c>
      <c r="B64" s="5" t="n">
        <v>1</v>
      </c>
      <c r="C64" s="6" t="n">
        <v>1.5</v>
      </c>
      <c r="D64" s="6" t="n">
        <v>2</v>
      </c>
      <c r="E64" s="6" t="n">
        <v>2.44</v>
      </c>
      <c r="F64" s="6" t="n">
        <f aca="false">B64*C64*D64</f>
        <v>3</v>
      </c>
      <c r="G64" s="5" t="s">
        <v>246</v>
      </c>
      <c r="H64" s="5" t="s">
        <v>243</v>
      </c>
      <c r="I64" s="13" t="s">
        <v>247</v>
      </c>
    </row>
    <row r="65" customFormat="false" ht="35.05" hidden="false" customHeight="false" outlineLevel="0" collapsed="false">
      <c r="A65" s="5" t="s">
        <v>248</v>
      </c>
      <c r="B65" s="5" t="n">
        <v>2</v>
      </c>
      <c r="C65" s="6" t="n">
        <v>0.6</v>
      </c>
      <c r="D65" s="6" t="n">
        <v>1.2</v>
      </c>
      <c r="E65" s="6" t="n">
        <v>2</v>
      </c>
      <c r="F65" s="6" t="n">
        <f aca="false">B65*C65*D65</f>
        <v>1.44</v>
      </c>
      <c r="G65" s="5" t="s">
        <v>249</v>
      </c>
      <c r="H65" s="5" t="s">
        <v>250</v>
      </c>
      <c r="I65" s="13"/>
    </row>
    <row r="66" customFormat="false" ht="46.25" hidden="false" customHeight="false" outlineLevel="0" collapsed="false">
      <c r="A66" s="5" t="s">
        <v>251</v>
      </c>
      <c r="B66" s="5" t="n">
        <v>1</v>
      </c>
      <c r="C66" s="6" t="n">
        <v>0.7</v>
      </c>
      <c r="D66" s="6" t="n">
        <v>1.3</v>
      </c>
      <c r="E66" s="13" t="s">
        <v>102</v>
      </c>
      <c r="F66" s="6" t="n">
        <f aca="false">B66*C66*D66</f>
        <v>0.91</v>
      </c>
      <c r="G66" s="5" t="s">
        <v>103</v>
      </c>
      <c r="H66" s="5" t="s">
        <v>252</v>
      </c>
      <c r="I66" s="13" t="s">
        <v>187</v>
      </c>
    </row>
    <row r="67" customFormat="false" ht="46.25" hidden="false" customHeight="false" outlineLevel="0" collapsed="false">
      <c r="A67" s="10" t="s">
        <v>253</v>
      </c>
      <c r="B67" s="10" t="n">
        <v>1</v>
      </c>
      <c r="C67" s="11" t="n">
        <v>0.7</v>
      </c>
      <c r="D67" s="11" t="n">
        <v>1.3</v>
      </c>
      <c r="E67" s="12" t="s">
        <v>102</v>
      </c>
      <c r="F67" s="11" t="n">
        <f aca="false">B67*C67*D67</f>
        <v>0.91</v>
      </c>
      <c r="G67" s="10" t="s">
        <v>103</v>
      </c>
      <c r="H67" s="10" t="s">
        <v>254</v>
      </c>
      <c r="I67" s="12" t="s">
        <v>187</v>
      </c>
    </row>
    <row r="69" customFormat="false" ht="23.85" hidden="false" customHeight="false" outlineLevel="0" collapsed="false">
      <c r="A69" s="4" t="s">
        <v>19</v>
      </c>
      <c r="B69" s="4"/>
      <c r="C69" s="4"/>
      <c r="D69" s="4"/>
      <c r="E69" s="4"/>
      <c r="F69" s="9" t="n">
        <f aca="false">SUM(F70:F72)</f>
        <v>4.1062</v>
      </c>
      <c r="G69" s="4"/>
      <c r="H69" s="4" t="s">
        <v>255</v>
      </c>
      <c r="I69" s="4"/>
    </row>
    <row r="70" customFormat="false" ht="15" hidden="false" customHeight="false" outlineLevel="0" collapsed="false">
      <c r="A70" s="5" t="s">
        <v>256</v>
      </c>
      <c r="B70" s="5" t="n">
        <v>1</v>
      </c>
      <c r="C70" s="6" t="n">
        <v>0.51</v>
      </c>
      <c r="D70" s="6" t="n">
        <v>0.62</v>
      </c>
      <c r="E70" s="6" t="n">
        <v>1.2</v>
      </c>
      <c r="F70" s="6" t="n">
        <f aca="false">B70*C70*D70</f>
        <v>0.3162</v>
      </c>
      <c r="G70" s="5"/>
      <c r="H70" s="5" t="s">
        <v>257</v>
      </c>
      <c r="I70" s="13" t="s">
        <v>258</v>
      </c>
    </row>
    <row r="71" customFormat="false" ht="35.05" hidden="false" customHeight="false" outlineLevel="0" collapsed="false">
      <c r="A71" s="5" t="s">
        <v>259</v>
      </c>
      <c r="B71" s="5" t="n">
        <v>4</v>
      </c>
      <c r="C71" s="6" t="n">
        <v>0.6</v>
      </c>
      <c r="D71" s="6" t="n">
        <v>1.2</v>
      </c>
      <c r="E71" s="6" t="n">
        <v>2</v>
      </c>
      <c r="F71" s="6" t="n">
        <f aca="false">B71*C71*D71</f>
        <v>2.88</v>
      </c>
      <c r="G71" s="5" t="s">
        <v>260</v>
      </c>
      <c r="H71" s="5" t="s">
        <v>261</v>
      </c>
      <c r="I71" s="13"/>
    </row>
    <row r="72" customFormat="false" ht="46.25" hidden="false" customHeight="false" outlineLevel="0" collapsed="false">
      <c r="A72" s="10" t="s">
        <v>262</v>
      </c>
      <c r="B72" s="10" t="n">
        <v>1</v>
      </c>
      <c r="C72" s="11" t="n">
        <v>0.7</v>
      </c>
      <c r="D72" s="11" t="n">
        <v>1.3</v>
      </c>
      <c r="E72" s="12" t="s">
        <v>102</v>
      </c>
      <c r="F72" s="11" t="n">
        <f aca="false">B72*C72*D72</f>
        <v>0.91</v>
      </c>
      <c r="G72" s="10" t="s">
        <v>103</v>
      </c>
      <c r="H72" s="10" t="s">
        <v>263</v>
      </c>
      <c r="I72" s="12" t="s">
        <v>105</v>
      </c>
    </row>
    <row r="74" customFormat="false" ht="23.85" hidden="false" customHeight="false" outlineLevel="0" collapsed="false">
      <c r="A74" s="4" t="s">
        <v>20</v>
      </c>
      <c r="B74" s="4"/>
      <c r="C74" s="4"/>
      <c r="D74" s="4"/>
      <c r="E74" s="4"/>
      <c r="F74" s="9" t="n">
        <f aca="false">SUM(F75:F77)</f>
        <v>3.395</v>
      </c>
      <c r="G74" s="4"/>
      <c r="H74" s="4" t="s">
        <v>264</v>
      </c>
      <c r="I74" s="4"/>
    </row>
    <row r="75" customFormat="false" ht="23.85" hidden="false" customHeight="false" outlineLevel="0" collapsed="false">
      <c r="A75" s="5" t="s">
        <v>265</v>
      </c>
      <c r="B75" s="5" t="n">
        <v>1</v>
      </c>
      <c r="C75" s="6" t="n">
        <v>0.5</v>
      </c>
      <c r="D75" s="6" t="n">
        <v>0.65</v>
      </c>
      <c r="E75" s="6" t="n">
        <v>1.45</v>
      </c>
      <c r="F75" s="6" t="n">
        <f aca="false">B75*C75*D75</f>
        <v>0.325</v>
      </c>
      <c r="G75" s="5"/>
      <c r="H75" s="5" t="s">
        <v>266</v>
      </c>
      <c r="I75" s="13"/>
    </row>
    <row r="76" customFormat="false" ht="35.05" hidden="false" customHeight="false" outlineLevel="0" collapsed="false">
      <c r="A76" s="5" t="s">
        <v>267</v>
      </c>
      <c r="B76" s="5" t="n">
        <v>3</v>
      </c>
      <c r="C76" s="6" t="n">
        <v>0.6</v>
      </c>
      <c r="D76" s="6" t="n">
        <v>1.2</v>
      </c>
      <c r="E76" s="6" t="n">
        <v>2</v>
      </c>
      <c r="F76" s="6" t="n">
        <f aca="false">B76*C76*D76</f>
        <v>2.16</v>
      </c>
      <c r="G76" s="5" t="s">
        <v>268</v>
      </c>
      <c r="H76" s="5" t="s">
        <v>269</v>
      </c>
      <c r="I76" s="13"/>
    </row>
    <row r="77" customFormat="false" ht="46.25" hidden="false" customHeight="false" outlineLevel="0" collapsed="false">
      <c r="A77" s="10" t="s">
        <v>270</v>
      </c>
      <c r="B77" s="10" t="n">
        <v>1</v>
      </c>
      <c r="C77" s="11" t="n">
        <v>0.7</v>
      </c>
      <c r="D77" s="11" t="n">
        <v>1.3</v>
      </c>
      <c r="E77" s="12" t="s">
        <v>102</v>
      </c>
      <c r="F77" s="11" t="n">
        <f aca="false">B77*C77*D77</f>
        <v>0.91</v>
      </c>
      <c r="G77" s="10" t="s">
        <v>103</v>
      </c>
      <c r="H77" s="10" t="s">
        <v>271</v>
      </c>
      <c r="I77" s="12" t="s">
        <v>105</v>
      </c>
    </row>
    <row r="79" customFormat="false" ht="23.85" hidden="false" customHeight="false" outlineLevel="0" collapsed="false">
      <c r="A79" s="4" t="s">
        <v>21</v>
      </c>
      <c r="B79" s="4"/>
      <c r="C79" s="4"/>
      <c r="D79" s="4"/>
      <c r="E79" s="4"/>
      <c r="F79" s="9" t="n">
        <f aca="false">SUM(F80:F82)</f>
        <v>3.07</v>
      </c>
      <c r="G79" s="4"/>
      <c r="H79" s="4" t="s">
        <v>272</v>
      </c>
      <c r="I79" s="4"/>
    </row>
    <row r="80" customFormat="false" ht="15" hidden="false" customHeight="false" outlineLevel="0" collapsed="false">
      <c r="A80" s="5" t="s">
        <v>273</v>
      </c>
      <c r="B80" s="5" t="n">
        <v>1</v>
      </c>
      <c r="C80" s="16" t="s">
        <v>102</v>
      </c>
      <c r="D80" s="16" t="s">
        <v>102</v>
      </c>
      <c r="E80" s="13" t="s">
        <v>102</v>
      </c>
      <c r="G80" s="5" t="s">
        <v>274</v>
      </c>
      <c r="H80" s="5" t="s">
        <v>275</v>
      </c>
      <c r="I80" s="13" t="s">
        <v>276</v>
      </c>
    </row>
    <row r="81" customFormat="false" ht="35.05" hidden="false" customHeight="false" outlineLevel="0" collapsed="false">
      <c r="A81" s="5" t="s">
        <v>277</v>
      </c>
      <c r="B81" s="5" t="n">
        <v>3</v>
      </c>
      <c r="C81" s="6" t="n">
        <v>0.6</v>
      </c>
      <c r="D81" s="6" t="n">
        <v>1.2</v>
      </c>
      <c r="E81" s="6" t="n">
        <v>2</v>
      </c>
      <c r="F81" s="6" t="n">
        <f aca="false">B81*C81*D81</f>
        <v>2.16</v>
      </c>
      <c r="G81" s="5" t="s">
        <v>278</v>
      </c>
      <c r="H81" s="5" t="s">
        <v>279</v>
      </c>
      <c r="I81" s="13"/>
    </row>
    <row r="82" customFormat="false" ht="46.25" hidden="false" customHeight="false" outlineLevel="0" collapsed="false">
      <c r="A82" s="10" t="s">
        <v>280</v>
      </c>
      <c r="B82" s="10" t="n">
        <v>1</v>
      </c>
      <c r="C82" s="11" t="n">
        <v>0.7</v>
      </c>
      <c r="D82" s="11" t="n">
        <v>1.3</v>
      </c>
      <c r="E82" s="12" t="s">
        <v>102</v>
      </c>
      <c r="F82" s="11" t="n">
        <f aca="false">B82*C82*D82</f>
        <v>0.91</v>
      </c>
      <c r="G82" s="10" t="s">
        <v>103</v>
      </c>
      <c r="H82" s="10" t="s">
        <v>281</v>
      </c>
      <c r="I82" s="12" t="s">
        <v>105</v>
      </c>
    </row>
    <row r="84" customFormat="false" ht="23.85" hidden="false" customHeight="false" outlineLevel="0" collapsed="false">
      <c r="A84" s="4" t="s">
        <v>22</v>
      </c>
      <c r="B84" s="4"/>
      <c r="C84" s="4"/>
      <c r="D84" s="4"/>
      <c r="E84" s="4"/>
      <c r="F84" s="9" t="n">
        <f aca="false">SUM(F85:F87)</f>
        <v>3.43</v>
      </c>
      <c r="G84" s="4"/>
      <c r="H84" s="4" t="s">
        <v>282</v>
      </c>
      <c r="I84" s="4"/>
    </row>
    <row r="85" customFormat="false" ht="15" hidden="false" customHeight="false" outlineLevel="0" collapsed="false">
      <c r="A85" s="5" t="s">
        <v>283</v>
      </c>
      <c r="B85" s="5" t="n">
        <v>1</v>
      </c>
      <c r="C85" s="6" t="n">
        <v>1.8</v>
      </c>
      <c r="D85" s="6" t="n">
        <v>1</v>
      </c>
      <c r="E85" s="6" t="n">
        <v>0.9</v>
      </c>
      <c r="F85" s="6" t="n">
        <f aca="false">B85*C85*D85</f>
        <v>1.8</v>
      </c>
      <c r="G85" s="5" t="s">
        <v>284</v>
      </c>
      <c r="H85" s="5" t="s">
        <v>285</v>
      </c>
      <c r="I85" s="13" t="s">
        <v>286</v>
      </c>
    </row>
    <row r="86" customFormat="false" ht="35.05" hidden="false" customHeight="false" outlineLevel="0" collapsed="false">
      <c r="A86" s="5" t="s">
        <v>287</v>
      </c>
      <c r="B86" s="5" t="n">
        <v>1</v>
      </c>
      <c r="C86" s="6" t="n">
        <v>0.6</v>
      </c>
      <c r="D86" s="6" t="n">
        <v>1.2</v>
      </c>
      <c r="E86" s="6" t="n">
        <v>2</v>
      </c>
      <c r="F86" s="6" t="n">
        <f aca="false">B86*C86*D86</f>
        <v>0.72</v>
      </c>
      <c r="G86" s="5" t="s">
        <v>288</v>
      </c>
      <c r="H86" s="5" t="s">
        <v>289</v>
      </c>
      <c r="I86" s="13"/>
    </row>
    <row r="87" customFormat="false" ht="46.25" hidden="false" customHeight="false" outlineLevel="0" collapsed="false">
      <c r="A87" s="10" t="s">
        <v>290</v>
      </c>
      <c r="B87" s="10" t="n">
        <v>1</v>
      </c>
      <c r="C87" s="11" t="n">
        <v>0.7</v>
      </c>
      <c r="D87" s="11" t="n">
        <v>1.3</v>
      </c>
      <c r="E87" s="12" t="s">
        <v>102</v>
      </c>
      <c r="F87" s="11" t="n">
        <f aca="false">B87*C87*D87</f>
        <v>0.91</v>
      </c>
      <c r="G87" s="10" t="s">
        <v>103</v>
      </c>
      <c r="H87" s="10" t="s">
        <v>291</v>
      </c>
      <c r="I87" s="12" t="s">
        <v>105</v>
      </c>
    </row>
    <row r="89" customFormat="false" ht="23.85" hidden="false" customHeight="false" outlineLevel="0" collapsed="false">
      <c r="A89" s="4" t="s">
        <v>23</v>
      </c>
      <c r="B89" s="4"/>
      <c r="C89" s="4"/>
      <c r="D89" s="4"/>
      <c r="E89" s="4"/>
      <c r="F89" s="9" t="n">
        <f aca="false">SUM(F90:F92)</f>
        <v>3.3625</v>
      </c>
      <c r="G89" s="4"/>
      <c r="H89" s="4" t="s">
        <v>292</v>
      </c>
      <c r="I89" s="4"/>
    </row>
    <row r="90" customFormat="false" ht="23.85" hidden="false" customHeight="false" outlineLevel="0" collapsed="false">
      <c r="A90" s="5" t="s">
        <v>293</v>
      </c>
      <c r="B90" s="5" t="n">
        <v>1</v>
      </c>
      <c r="C90" s="6" t="n">
        <v>0.45</v>
      </c>
      <c r="D90" s="6" t="n">
        <v>0.65</v>
      </c>
      <c r="E90" s="6" t="n">
        <v>0.45</v>
      </c>
      <c r="F90" s="6" t="n">
        <f aca="false">B90*C90*D90</f>
        <v>0.2925</v>
      </c>
      <c r="G90" s="5" t="s">
        <v>294</v>
      </c>
      <c r="H90" s="5" t="s">
        <v>295</v>
      </c>
      <c r="I90" s="13" t="s">
        <v>296</v>
      </c>
    </row>
    <row r="91" customFormat="false" ht="35.05" hidden="false" customHeight="false" outlineLevel="0" collapsed="false">
      <c r="A91" s="5" t="s">
        <v>297</v>
      </c>
      <c r="B91" s="5" t="n">
        <v>3</v>
      </c>
      <c r="C91" s="6" t="n">
        <v>0.6</v>
      </c>
      <c r="D91" s="6" t="n">
        <v>1.2</v>
      </c>
      <c r="E91" s="6" t="n">
        <v>2</v>
      </c>
      <c r="F91" s="6" t="n">
        <f aca="false">B91*C91*D91</f>
        <v>2.16</v>
      </c>
      <c r="G91" s="5" t="s">
        <v>298</v>
      </c>
      <c r="H91" s="5" t="s">
        <v>299</v>
      </c>
      <c r="I91" s="13"/>
    </row>
    <row r="92" customFormat="false" ht="46.25" hidden="false" customHeight="false" outlineLevel="0" collapsed="false">
      <c r="A92" s="10" t="s">
        <v>300</v>
      </c>
      <c r="B92" s="10" t="n">
        <v>1</v>
      </c>
      <c r="C92" s="11" t="n">
        <v>0.7</v>
      </c>
      <c r="D92" s="11" t="n">
        <v>1.3</v>
      </c>
      <c r="E92" s="12" t="s">
        <v>102</v>
      </c>
      <c r="F92" s="11" t="n">
        <f aca="false">B92*C92*D92</f>
        <v>0.91</v>
      </c>
      <c r="G92" s="10" t="s">
        <v>103</v>
      </c>
      <c r="H92" s="10" t="s">
        <v>301</v>
      </c>
      <c r="I92" s="12" t="s">
        <v>187</v>
      </c>
    </row>
    <row r="94" customFormat="false" ht="23.85" hidden="false" customHeight="false" outlineLevel="0" collapsed="false">
      <c r="A94" s="4" t="s">
        <v>24</v>
      </c>
      <c r="B94" s="4"/>
      <c r="C94" s="4"/>
      <c r="D94" s="4"/>
      <c r="E94" s="4"/>
      <c r="F94" s="9" t="n">
        <f aca="false">SUM(F95:F97)</f>
        <v>8.8084</v>
      </c>
      <c r="G94" s="4"/>
      <c r="H94" s="4" t="s">
        <v>302</v>
      </c>
      <c r="I94" s="4"/>
    </row>
    <row r="95" customFormat="false" ht="15" hidden="false" customHeight="false" outlineLevel="0" collapsed="false">
      <c r="A95" s="5" t="s">
        <v>303</v>
      </c>
      <c r="B95" s="5" t="n">
        <v>1</v>
      </c>
      <c r="C95" s="6" t="n">
        <v>3</v>
      </c>
      <c r="D95" s="6" t="n">
        <v>1.5</v>
      </c>
      <c r="E95" s="6" t="n">
        <v>2.5</v>
      </c>
      <c r="F95" s="6" t="n">
        <f aca="false">B95*C95*D95</f>
        <v>4.5</v>
      </c>
      <c r="G95" s="5" t="s">
        <v>304</v>
      </c>
      <c r="H95" s="5" t="s">
        <v>305</v>
      </c>
      <c r="I95" s="13"/>
    </row>
    <row r="96" customFormat="false" ht="15" hidden="false" customHeight="false" outlineLevel="0" collapsed="false">
      <c r="A96" s="5" t="s">
        <v>306</v>
      </c>
      <c r="B96" s="5" t="n">
        <v>1</v>
      </c>
      <c r="C96" s="6" t="n">
        <v>1.42</v>
      </c>
      <c r="D96" s="6" t="n">
        <v>2.02</v>
      </c>
      <c r="E96" s="6" t="n">
        <v>1.55</v>
      </c>
      <c r="F96" s="6" t="n">
        <f aca="false">B96*C96*D96</f>
        <v>2.8684</v>
      </c>
      <c r="G96" s="5"/>
      <c r="H96" s="5" t="s">
        <v>285</v>
      </c>
      <c r="I96" s="13" t="s">
        <v>307</v>
      </c>
    </row>
    <row r="97" customFormat="false" ht="35.05" hidden="false" customHeight="false" outlineLevel="0" collapsed="false">
      <c r="A97" s="10" t="s">
        <v>308</v>
      </c>
      <c r="B97" s="10" t="n">
        <v>2</v>
      </c>
      <c r="C97" s="11" t="n">
        <v>0.6</v>
      </c>
      <c r="D97" s="11" t="n">
        <v>1.2</v>
      </c>
      <c r="E97" s="11" t="n">
        <v>2</v>
      </c>
      <c r="F97" s="11" t="n">
        <f aca="false">B97*C97*D97</f>
        <v>1.44</v>
      </c>
      <c r="G97" s="10" t="s">
        <v>309</v>
      </c>
      <c r="H97" s="10" t="s">
        <v>310</v>
      </c>
      <c r="I97"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6"/>
    <col collapsed="false" customWidth="true" hidden="false" outlineLevel="0" max="5" min="3" style="0" width="9"/>
    <col collapsed="false" customWidth="true" hidden="false" outlineLevel="0" max="6" min="6" style="0" width="10"/>
    <col collapsed="false" customWidth="true" hidden="false" outlineLevel="0" max="7" min="7" style="0" width="40"/>
    <col collapsed="false" customWidth="true" hidden="false" outlineLevel="0" max="8" min="8" style="0" width="34"/>
    <col collapsed="false" customWidth="true" hidden="false" outlineLevel="0" max="9" min="9" style="0" width="52"/>
  </cols>
  <sheetData>
    <row r="1" customFormat="false" ht="16.15" hidden="false" customHeight="false" outlineLevel="0" collapsed="false">
      <c r="A1" s="1" t="s">
        <v>311</v>
      </c>
    </row>
    <row r="2" customFormat="false" ht="15" hidden="false" customHeight="false" outlineLevel="0" collapsed="false">
      <c r="A2" s="2" t="s">
        <v>75</v>
      </c>
    </row>
    <row r="4" customFormat="false" ht="15" hidden="false" customHeight="false" outlineLevel="0" collapsed="false">
      <c r="A4" s="3" t="s">
        <v>76</v>
      </c>
      <c r="B4" s="3" t="s">
        <v>78</v>
      </c>
      <c r="C4" s="3" t="s">
        <v>79</v>
      </c>
      <c r="D4" s="3" t="s">
        <v>80</v>
      </c>
      <c r="E4" s="3" t="s">
        <v>81</v>
      </c>
      <c r="F4" s="3" t="s">
        <v>82</v>
      </c>
      <c r="G4" s="3" t="s">
        <v>83</v>
      </c>
      <c r="H4" s="3" t="s">
        <v>84</v>
      </c>
      <c r="I4" s="3" t="s">
        <v>85</v>
      </c>
    </row>
    <row r="5" customFormat="false" ht="23.85" hidden="false" customHeight="false" outlineLevel="0" collapsed="false">
      <c r="A5" s="4" t="s">
        <v>27</v>
      </c>
      <c r="B5" s="4"/>
      <c r="C5" s="4"/>
      <c r="D5" s="4"/>
      <c r="E5" s="4"/>
      <c r="F5" s="9" t="n">
        <f aca="false">SUM(F6:F7)</f>
        <v>9.25924285714286</v>
      </c>
      <c r="G5" s="4"/>
      <c r="H5" s="4" t="s">
        <v>312</v>
      </c>
      <c r="I5" s="4"/>
    </row>
    <row r="6" customFormat="false" ht="23.85" hidden="false" customHeight="false" outlineLevel="0" collapsed="false">
      <c r="A6" s="5" t="s">
        <v>313</v>
      </c>
      <c r="B6" s="5" t="n">
        <v>1</v>
      </c>
      <c r="C6" s="6" t="n">
        <v>1.21</v>
      </c>
      <c r="D6" s="6" t="n">
        <v>3.31</v>
      </c>
      <c r="E6" s="6" t="n">
        <v>1.33</v>
      </c>
      <c r="F6" s="6" t="n">
        <f aca="false">B6*C6*D6</f>
        <v>4.0051</v>
      </c>
      <c r="G6" s="5" t="s">
        <v>314</v>
      </c>
      <c r="H6" s="5" t="s">
        <v>315</v>
      </c>
      <c r="I6" s="13" t="s">
        <v>316</v>
      </c>
    </row>
    <row r="7" customFormat="false" ht="35.05" hidden="false" customHeight="false" outlineLevel="0" collapsed="false">
      <c r="A7" s="10" t="s">
        <v>317</v>
      </c>
      <c r="B7" s="10" t="n">
        <v>1</v>
      </c>
      <c r="C7" s="11"/>
      <c r="D7" s="11"/>
      <c r="E7" s="10" t="s">
        <v>318</v>
      </c>
      <c r="F7" s="11" t="n">
        <f aca="false">7.3558/1.4</f>
        <v>5.25414285714286</v>
      </c>
      <c r="G7" s="10" t="s">
        <v>319</v>
      </c>
      <c r="H7" s="10" t="s">
        <v>320</v>
      </c>
      <c r="I7" s="12"/>
    </row>
    <row r="9" customFormat="false" ht="23.85" hidden="false" customHeight="false" outlineLevel="0" collapsed="false">
      <c r="A9" s="4" t="s">
        <v>28</v>
      </c>
      <c r="B9" s="4"/>
      <c r="C9" s="4"/>
      <c r="D9" s="4"/>
      <c r="E9" s="4"/>
      <c r="F9" s="9" t="n">
        <f aca="false">SUM(F10:F12)</f>
        <v>0.575185714285714</v>
      </c>
      <c r="G9" s="4"/>
      <c r="H9" s="4" t="s">
        <v>321</v>
      </c>
      <c r="I9" s="4"/>
    </row>
    <row r="10" customFormat="false" ht="23.85" hidden="false" customHeight="false" outlineLevel="0" collapsed="false">
      <c r="A10" s="5" t="s">
        <v>322</v>
      </c>
      <c r="B10" s="5" t="n">
        <v>1</v>
      </c>
      <c r="C10" s="6" t="n">
        <v>0.32</v>
      </c>
      <c r="D10" s="6" t="n">
        <v>0.47</v>
      </c>
      <c r="E10" s="6" t="n">
        <v>0.334</v>
      </c>
      <c r="F10" s="6" t="n">
        <f aca="false">B10*C10*D10</f>
        <v>0.1504</v>
      </c>
      <c r="G10" s="5" t="s">
        <v>323</v>
      </c>
      <c r="H10" s="5" t="s">
        <v>324</v>
      </c>
      <c r="I10" s="13" t="s">
        <v>325</v>
      </c>
    </row>
    <row r="11" customFormat="false" ht="15" hidden="false" customHeight="false" outlineLevel="0" collapsed="false">
      <c r="A11" s="5" t="s">
        <v>326</v>
      </c>
      <c r="B11" s="5" t="n">
        <v>1</v>
      </c>
      <c r="C11" s="6" t="n">
        <v>0.16</v>
      </c>
      <c r="D11" s="6" t="n">
        <v>0.45</v>
      </c>
      <c r="E11" s="6" t="n">
        <v>0.334</v>
      </c>
      <c r="F11" s="6" t="n">
        <f aca="false">B11*C11*D11</f>
        <v>0.072</v>
      </c>
      <c r="G11" s="5"/>
      <c r="H11" s="5" t="s">
        <v>327</v>
      </c>
      <c r="I11" s="13"/>
    </row>
    <row r="12" customFormat="false" ht="35.05" hidden="false" customHeight="false" outlineLevel="0" collapsed="false">
      <c r="A12" s="10" t="s">
        <v>328</v>
      </c>
      <c r="B12" s="10" t="n">
        <v>1</v>
      </c>
      <c r="C12" s="11"/>
      <c r="D12" s="11"/>
      <c r="E12" s="10" t="s">
        <v>318</v>
      </c>
      <c r="F12" s="11" t="n">
        <f aca="false">0.4939/1.4</f>
        <v>0.352785714285714</v>
      </c>
      <c r="G12" s="10" t="s">
        <v>329</v>
      </c>
      <c r="H12" s="10" t="s">
        <v>330</v>
      </c>
      <c r="I12" s="12"/>
    </row>
    <row r="14" customFormat="false" ht="23.85" hidden="false" customHeight="false" outlineLevel="0" collapsed="false">
      <c r="A14" s="4" t="s">
        <v>29</v>
      </c>
      <c r="B14" s="4"/>
      <c r="C14" s="4"/>
      <c r="D14" s="4"/>
      <c r="E14" s="4"/>
      <c r="F14" s="9" t="n">
        <f aca="false">SUM(F15:F16)</f>
        <v>3.0036</v>
      </c>
      <c r="G14" s="4"/>
      <c r="H14" s="4" t="s">
        <v>331</v>
      </c>
      <c r="I14" s="4"/>
    </row>
    <row r="15" customFormat="false" ht="23.85" hidden="false" customHeight="false" outlineLevel="0" collapsed="false">
      <c r="A15" s="5" t="s">
        <v>332</v>
      </c>
      <c r="B15" s="5" t="n">
        <v>1</v>
      </c>
      <c r="C15" s="6" t="n">
        <v>1.14</v>
      </c>
      <c r="D15" s="6" t="n">
        <v>2.3</v>
      </c>
      <c r="E15" s="6" t="n">
        <v>1.8</v>
      </c>
      <c r="F15" s="6" t="n">
        <f aca="false">B15*C15*D15</f>
        <v>2.622</v>
      </c>
      <c r="G15" s="5" t="s">
        <v>333</v>
      </c>
      <c r="H15" s="5" t="s">
        <v>334</v>
      </c>
      <c r="I15" s="13"/>
    </row>
    <row r="16" customFormat="false" ht="15" hidden="false" customHeight="false" outlineLevel="0" collapsed="false">
      <c r="A16" s="10" t="s">
        <v>335</v>
      </c>
      <c r="B16" s="10" t="n">
        <v>1</v>
      </c>
      <c r="C16" s="11" t="n">
        <v>0.53</v>
      </c>
      <c r="D16" s="11" t="n">
        <v>0.72</v>
      </c>
      <c r="E16" s="11" t="n">
        <v>0.87</v>
      </c>
      <c r="F16" s="11" t="n">
        <f aca="false">B16*C16*D16</f>
        <v>0.3816</v>
      </c>
      <c r="G16" s="10" t="s">
        <v>336</v>
      </c>
      <c r="H16" s="10" t="s">
        <v>334</v>
      </c>
      <c r="I16" s="12" t="s">
        <v>337</v>
      </c>
    </row>
    <row r="18" customFormat="false" ht="23.85" hidden="false" customHeight="false" outlineLevel="0" collapsed="false">
      <c r="A18" s="4" t="s">
        <v>30</v>
      </c>
      <c r="B18" s="4"/>
      <c r="C18" s="4"/>
      <c r="D18" s="4"/>
      <c r="E18" s="4"/>
      <c r="F18" s="9" t="n">
        <f aca="false">SUM(F19:F20)</f>
        <v>0.471642857142857</v>
      </c>
      <c r="G18" s="4"/>
      <c r="H18" s="4" t="s">
        <v>338</v>
      </c>
      <c r="I18" s="4"/>
    </row>
    <row r="19" customFormat="false" ht="15" hidden="false" customHeight="false" outlineLevel="0" collapsed="false">
      <c r="A19" s="5" t="s">
        <v>339</v>
      </c>
      <c r="B19" s="5" t="n">
        <v>1</v>
      </c>
      <c r="C19" s="16" t="s">
        <v>102</v>
      </c>
      <c r="D19" s="16" t="s">
        <v>102</v>
      </c>
      <c r="E19" s="13" t="s">
        <v>102</v>
      </c>
      <c r="G19" s="5"/>
      <c r="H19" s="5"/>
      <c r="I19" s="13" t="s">
        <v>159</v>
      </c>
    </row>
    <row r="20" customFormat="false" ht="35.05" hidden="false" customHeight="false" outlineLevel="0" collapsed="false">
      <c r="A20" s="10" t="s">
        <v>340</v>
      </c>
      <c r="B20" s="10" t="n">
        <v>1</v>
      </c>
      <c r="C20" s="11"/>
      <c r="D20" s="11"/>
      <c r="E20" s="10" t="s">
        <v>318</v>
      </c>
      <c r="F20" s="11" t="n">
        <f aca="false">0.6603/1.4</f>
        <v>0.471642857142857</v>
      </c>
      <c r="G20" s="10" t="s">
        <v>341</v>
      </c>
      <c r="H20" s="10" t="s">
        <v>342</v>
      </c>
      <c r="I20" s="12"/>
    </row>
    <row r="22" customFormat="false" ht="23.85" hidden="false" customHeight="false" outlineLevel="0" collapsed="false">
      <c r="A22" s="4" t="s">
        <v>31</v>
      </c>
      <c r="B22" s="4"/>
      <c r="C22" s="4"/>
      <c r="D22" s="4"/>
      <c r="E22" s="4"/>
      <c r="F22" s="9" t="n">
        <f aca="false">SUM(F23:F25)</f>
        <v>2.41761428571429</v>
      </c>
      <c r="G22" s="4"/>
      <c r="H22" s="4" t="s">
        <v>343</v>
      </c>
      <c r="I22" s="4"/>
    </row>
    <row r="23" customFormat="false" ht="23.85" hidden="false" customHeight="false" outlineLevel="0" collapsed="false">
      <c r="A23" s="5" t="s">
        <v>322</v>
      </c>
      <c r="B23" s="5" t="n">
        <v>1</v>
      </c>
      <c r="C23" s="6" t="n">
        <v>0.32</v>
      </c>
      <c r="D23" s="6" t="n">
        <v>0.47</v>
      </c>
      <c r="E23" s="6" t="n">
        <v>0.334</v>
      </c>
      <c r="F23" s="6" t="n">
        <f aca="false">B23*C23*D23</f>
        <v>0.1504</v>
      </c>
      <c r="G23" s="5" t="s">
        <v>323</v>
      </c>
      <c r="H23" s="5" t="s">
        <v>324</v>
      </c>
      <c r="I23" s="13" t="s">
        <v>325</v>
      </c>
    </row>
    <row r="24" customFormat="false" ht="15" hidden="false" customHeight="false" outlineLevel="0" collapsed="false">
      <c r="A24" s="5" t="s">
        <v>326</v>
      </c>
      <c r="B24" s="5" t="n">
        <v>1</v>
      </c>
      <c r="C24" s="6" t="n">
        <v>0.16</v>
      </c>
      <c r="D24" s="6" t="n">
        <v>0.45</v>
      </c>
      <c r="E24" s="6" t="n">
        <v>0.334</v>
      </c>
      <c r="F24" s="6" t="n">
        <f aca="false">B24*C24*D24</f>
        <v>0.072</v>
      </c>
      <c r="G24" s="5"/>
      <c r="H24" s="5" t="s">
        <v>327</v>
      </c>
      <c r="I24" s="13"/>
    </row>
    <row r="25" customFormat="false" ht="23.85" hidden="false" customHeight="false" outlineLevel="0" collapsed="false">
      <c r="A25" s="10" t="s">
        <v>344</v>
      </c>
      <c r="B25" s="10" t="n">
        <v>1</v>
      </c>
      <c r="C25" s="11"/>
      <c r="D25" s="11"/>
      <c r="E25" s="10" t="s">
        <v>318</v>
      </c>
      <c r="F25" s="11" t="n">
        <f aca="false">3.0733/1.4</f>
        <v>2.19521428571429</v>
      </c>
      <c r="G25" s="10" t="s">
        <v>345</v>
      </c>
      <c r="H25" s="10" t="s">
        <v>346</v>
      </c>
      <c r="I25" s="12"/>
    </row>
    <row r="27" customFormat="false" ht="23.85" hidden="false" customHeight="false" outlineLevel="0" collapsed="false">
      <c r="A27" s="4" t="s">
        <v>32</v>
      </c>
      <c r="B27" s="4"/>
      <c r="C27" s="4"/>
      <c r="D27" s="4"/>
      <c r="E27" s="4"/>
      <c r="F27" s="9" t="n">
        <f aca="false">SUM(F28:F30)</f>
        <v>0.398828571428571</v>
      </c>
      <c r="G27" s="4"/>
      <c r="H27" s="4" t="s">
        <v>347</v>
      </c>
      <c r="I27" s="4"/>
    </row>
    <row r="28" customFormat="false" ht="23.85" hidden="false" customHeight="false" outlineLevel="0" collapsed="false">
      <c r="A28" s="5" t="s">
        <v>322</v>
      </c>
      <c r="B28" s="5" t="n">
        <v>1</v>
      </c>
      <c r="C28" s="6" t="n">
        <v>0.32</v>
      </c>
      <c r="D28" s="6" t="n">
        <v>0.47</v>
      </c>
      <c r="E28" s="6" t="n">
        <v>0.334</v>
      </c>
      <c r="F28" s="6" t="n">
        <f aca="false">B28*C28*D28</f>
        <v>0.1504</v>
      </c>
      <c r="G28" s="5" t="s">
        <v>323</v>
      </c>
      <c r="H28" s="5" t="s">
        <v>324</v>
      </c>
      <c r="I28" s="13" t="s">
        <v>325</v>
      </c>
    </row>
    <row r="29" customFormat="false" ht="15" hidden="false" customHeight="false" outlineLevel="0" collapsed="false">
      <c r="A29" s="5" t="s">
        <v>326</v>
      </c>
      <c r="B29" s="5" t="n">
        <v>1</v>
      </c>
      <c r="C29" s="6" t="n">
        <v>0.16</v>
      </c>
      <c r="D29" s="6" t="n">
        <v>0.45</v>
      </c>
      <c r="E29" s="6" t="n">
        <v>0.334</v>
      </c>
      <c r="F29" s="6" t="n">
        <f aca="false">B29*C29*D29</f>
        <v>0.072</v>
      </c>
      <c r="G29" s="5"/>
      <c r="H29" s="5" t="s">
        <v>327</v>
      </c>
      <c r="I29" s="13"/>
    </row>
    <row r="30" customFormat="false" ht="23.85" hidden="false" customHeight="false" outlineLevel="0" collapsed="false">
      <c r="A30" s="10" t="s">
        <v>348</v>
      </c>
      <c r="B30" s="10" t="n">
        <v>1</v>
      </c>
      <c r="C30" s="11"/>
      <c r="D30" s="11"/>
      <c r="E30" s="10" t="s">
        <v>318</v>
      </c>
      <c r="F30" s="11" t="n">
        <f aca="false">0.247/1.4</f>
        <v>0.176428571428571</v>
      </c>
      <c r="G30" s="10" t="s">
        <v>349</v>
      </c>
      <c r="H30" s="10" t="s">
        <v>350</v>
      </c>
      <c r="I30" s="12"/>
    </row>
    <row r="32" customFormat="false" ht="23.85" hidden="false" customHeight="false" outlineLevel="0" collapsed="false">
      <c r="A32" s="4" t="s">
        <v>33</v>
      </c>
      <c r="B32" s="4"/>
      <c r="C32" s="4"/>
      <c r="D32" s="4"/>
      <c r="E32" s="4"/>
      <c r="F32" s="9" t="n">
        <f aca="false">SUM(F33:F33)</f>
        <v>0</v>
      </c>
      <c r="G32" s="4"/>
      <c r="H32" s="4" t="s">
        <v>351</v>
      </c>
      <c r="I32" s="4"/>
    </row>
    <row r="33" customFormat="false" ht="15" hidden="false" customHeight="false" outlineLevel="0" collapsed="false">
      <c r="A33" s="10" t="s">
        <v>352</v>
      </c>
      <c r="B33" s="10" t="n">
        <v>1</v>
      </c>
      <c r="C33" s="14" t="s">
        <v>102</v>
      </c>
      <c r="D33" s="14" t="s">
        <v>102</v>
      </c>
      <c r="E33" s="12" t="s">
        <v>102</v>
      </c>
      <c r="F33" s="15"/>
      <c r="G33" s="10"/>
      <c r="H33" s="10"/>
      <c r="I33" s="12" t="s">
        <v>159</v>
      </c>
    </row>
    <row r="35" customFormat="false" ht="23.85" hidden="false" customHeight="false" outlineLevel="0" collapsed="false">
      <c r="A35" s="4" t="s">
        <v>34</v>
      </c>
      <c r="B35" s="4"/>
      <c r="C35" s="4"/>
      <c r="D35" s="4"/>
      <c r="E35" s="4"/>
      <c r="F35" s="9" t="n">
        <f aca="false">SUM(F36:F36)</f>
        <v>12.65</v>
      </c>
      <c r="G35" s="4"/>
      <c r="H35" s="4" t="s">
        <v>353</v>
      </c>
      <c r="I35" s="4"/>
    </row>
    <row r="36" customFormat="false" ht="35.05" hidden="false" customHeight="false" outlineLevel="0" collapsed="false">
      <c r="A36" s="10" t="s">
        <v>354</v>
      </c>
      <c r="B36" s="10" t="n">
        <v>1</v>
      </c>
      <c r="C36" s="11"/>
      <c r="D36" s="11"/>
      <c r="E36" s="10" t="s">
        <v>318</v>
      </c>
      <c r="F36" s="11" t="n">
        <f aca="false">17.71/1.4</f>
        <v>12.65</v>
      </c>
      <c r="G36" s="10" t="s">
        <v>355</v>
      </c>
      <c r="H36" s="10" t="s">
        <v>356</v>
      </c>
      <c r="I36" s="12"/>
    </row>
    <row r="38" customFormat="false" ht="23.85" hidden="false" customHeight="false" outlineLevel="0" collapsed="false">
      <c r="A38" s="4" t="s">
        <v>35</v>
      </c>
      <c r="B38" s="4"/>
      <c r="C38" s="4"/>
      <c r="D38" s="4"/>
      <c r="E38" s="4"/>
      <c r="F38" s="9" t="n">
        <f aca="false">SUM(F39:F39)</f>
        <v>12.65</v>
      </c>
      <c r="G38" s="4"/>
      <c r="H38" s="4" t="s">
        <v>357</v>
      </c>
      <c r="I38" s="4"/>
    </row>
    <row r="39" customFormat="false" ht="35.05" hidden="false" customHeight="false" outlineLevel="0" collapsed="false">
      <c r="A39" s="10" t="s">
        <v>358</v>
      </c>
      <c r="B39" s="10" t="n">
        <v>1</v>
      </c>
      <c r="C39" s="11"/>
      <c r="D39" s="11"/>
      <c r="E39" s="10" t="s">
        <v>318</v>
      </c>
      <c r="F39" s="11" t="n">
        <f aca="false">17.71/1.4</f>
        <v>12.65</v>
      </c>
      <c r="G39" s="10" t="s">
        <v>359</v>
      </c>
      <c r="H39" s="10" t="s">
        <v>360</v>
      </c>
      <c r="I39" s="12"/>
    </row>
    <row r="41" customFormat="false" ht="23.85" hidden="false" customHeight="false" outlineLevel="0" collapsed="false">
      <c r="A41" s="4" t="s">
        <v>36</v>
      </c>
      <c r="B41" s="4"/>
      <c r="C41" s="4"/>
      <c r="D41" s="4"/>
      <c r="E41" s="4"/>
      <c r="F41" s="9" t="n">
        <f aca="false">SUM(F42:F42)</f>
        <v>0.3162</v>
      </c>
      <c r="G41" s="4"/>
      <c r="H41" s="4" t="s">
        <v>361</v>
      </c>
      <c r="I41" s="4"/>
    </row>
    <row r="42" customFormat="false" ht="15" hidden="false" customHeight="false" outlineLevel="0" collapsed="false">
      <c r="A42" s="10" t="s">
        <v>256</v>
      </c>
      <c r="B42" s="10" t="n">
        <v>1</v>
      </c>
      <c r="C42" s="11" t="n">
        <v>0.51</v>
      </c>
      <c r="D42" s="11" t="n">
        <v>0.62</v>
      </c>
      <c r="E42" s="11" t="n">
        <v>1.2</v>
      </c>
      <c r="F42" s="11" t="n">
        <f aca="false">B42*C42*D42</f>
        <v>0.3162</v>
      </c>
      <c r="G42" s="10"/>
      <c r="H42" s="10" t="s">
        <v>257</v>
      </c>
      <c r="I42" s="12"/>
    </row>
    <row r="44" customFormat="false" ht="23.85" hidden="false" customHeight="false" outlineLevel="0" collapsed="false">
      <c r="A44" s="4" t="s">
        <v>37</v>
      </c>
      <c r="B44" s="4"/>
      <c r="C44" s="4"/>
      <c r="D44" s="4"/>
      <c r="E44" s="4"/>
      <c r="F44" s="9" t="n">
        <f aca="false">SUM(F45:F45)</f>
        <v>0</v>
      </c>
      <c r="G44" s="4"/>
      <c r="H44" s="4" t="s">
        <v>362</v>
      </c>
      <c r="I44" s="4"/>
    </row>
    <row r="45" customFormat="false" ht="15" hidden="false" customHeight="false" outlineLevel="0" collapsed="false">
      <c r="A45" s="10" t="s">
        <v>363</v>
      </c>
      <c r="B45" s="10" t="n">
        <v>1</v>
      </c>
      <c r="C45" s="14" t="s">
        <v>102</v>
      </c>
      <c r="D45" s="14" t="s">
        <v>102</v>
      </c>
      <c r="E45" s="12" t="s">
        <v>102</v>
      </c>
      <c r="F45" s="15"/>
      <c r="G45" s="10"/>
      <c r="H45" s="10"/>
      <c r="I45" s="12" t="s">
        <v>159</v>
      </c>
    </row>
    <row r="47" customFormat="false" ht="23.85" hidden="false" customHeight="false" outlineLevel="0" collapsed="false">
      <c r="A47" s="4" t="s">
        <v>38</v>
      </c>
      <c r="B47" s="4"/>
      <c r="C47" s="4"/>
      <c r="D47" s="4"/>
      <c r="E47" s="4"/>
      <c r="F47" s="9" t="n">
        <f aca="false">SUM(F48:F48)</f>
        <v>0</v>
      </c>
      <c r="G47" s="4"/>
      <c r="H47" s="4" t="s">
        <v>364</v>
      </c>
      <c r="I47" s="4"/>
    </row>
    <row r="48" customFormat="false" ht="15" hidden="false" customHeight="false" outlineLevel="0" collapsed="false">
      <c r="A48" s="10" t="s">
        <v>365</v>
      </c>
      <c r="B48" s="10" t="n">
        <v>1</v>
      </c>
      <c r="C48" s="14" t="s">
        <v>102</v>
      </c>
      <c r="D48" s="14" t="s">
        <v>102</v>
      </c>
      <c r="E48" s="12" t="s">
        <v>102</v>
      </c>
      <c r="F48" s="15"/>
      <c r="G48" s="10"/>
      <c r="H48" s="10"/>
      <c r="I48" s="12"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6"/>
    <col collapsed="false" customWidth="true" hidden="false" outlineLevel="0" max="5" min="3" style="0" width="9"/>
    <col collapsed="false" customWidth="true" hidden="false" outlineLevel="0" max="6" min="6" style="0" width="10"/>
    <col collapsed="false" customWidth="true" hidden="false" outlineLevel="0" max="7" min="7" style="0" width="40"/>
    <col collapsed="false" customWidth="true" hidden="false" outlineLevel="0" max="8" min="8" style="0" width="34"/>
    <col collapsed="false" customWidth="true" hidden="false" outlineLevel="0" max="9" min="9" style="0" width="52"/>
  </cols>
  <sheetData>
    <row r="1" customFormat="false" ht="16.15" hidden="false" customHeight="false" outlineLevel="0" collapsed="false">
      <c r="A1" s="1" t="s">
        <v>366</v>
      </c>
    </row>
    <row r="2" customFormat="false" ht="15" hidden="false" customHeight="false" outlineLevel="0" collapsed="false">
      <c r="A2" s="2" t="s">
        <v>75</v>
      </c>
    </row>
    <row r="4" customFormat="false" ht="15" hidden="false" customHeight="false" outlineLevel="0" collapsed="false">
      <c r="A4" s="3" t="s">
        <v>76</v>
      </c>
      <c r="B4" s="3" t="s">
        <v>78</v>
      </c>
      <c r="C4" s="3" t="s">
        <v>79</v>
      </c>
      <c r="D4" s="3" t="s">
        <v>80</v>
      </c>
      <c r="E4" s="3" t="s">
        <v>81</v>
      </c>
      <c r="F4" s="3" t="s">
        <v>82</v>
      </c>
      <c r="G4" s="3" t="s">
        <v>83</v>
      </c>
      <c r="H4" s="3" t="s">
        <v>84</v>
      </c>
      <c r="I4" s="3" t="s">
        <v>85</v>
      </c>
    </row>
    <row r="5" customFormat="false" ht="23.85" hidden="false" customHeight="false" outlineLevel="0" collapsed="false">
      <c r="A5" s="4" t="s">
        <v>41</v>
      </c>
      <c r="B5" s="4"/>
      <c r="C5" s="4"/>
      <c r="D5" s="4"/>
      <c r="E5" s="4"/>
      <c r="F5" s="9" t="n">
        <f aca="false">SUM(F6:F7)</f>
        <v>2.4</v>
      </c>
      <c r="G5" s="4"/>
      <c r="H5" s="4" t="s">
        <v>367</v>
      </c>
      <c r="I5" s="4"/>
    </row>
    <row r="6" customFormat="false" ht="15" hidden="false" customHeight="false" outlineLevel="0" collapsed="false">
      <c r="A6" s="5" t="s">
        <v>368</v>
      </c>
      <c r="B6" s="5" t="n">
        <v>2</v>
      </c>
      <c r="C6" s="16" t="s">
        <v>102</v>
      </c>
      <c r="D6" s="16" t="s">
        <v>102</v>
      </c>
      <c r="E6" s="13" t="s">
        <v>102</v>
      </c>
      <c r="G6" s="5"/>
      <c r="H6" s="5"/>
      <c r="I6" s="13" t="s">
        <v>159</v>
      </c>
    </row>
    <row r="7" customFormat="false" ht="35.05" hidden="false" customHeight="false" outlineLevel="0" collapsed="false">
      <c r="A7" s="10" t="s">
        <v>369</v>
      </c>
      <c r="B7" s="10" t="n">
        <v>2</v>
      </c>
      <c r="C7" s="11" t="n">
        <v>1</v>
      </c>
      <c r="D7" s="11" t="n">
        <v>1.2</v>
      </c>
      <c r="E7" s="12" t="s">
        <v>102</v>
      </c>
      <c r="F7" s="11" t="n">
        <f aca="false">B7*C7*D7</f>
        <v>2.4</v>
      </c>
      <c r="G7" s="10" t="s">
        <v>370</v>
      </c>
      <c r="H7" s="10" t="s">
        <v>371</v>
      </c>
      <c r="I7" s="12" t="s">
        <v>372</v>
      </c>
    </row>
    <row r="9" customFormat="false" ht="23.85" hidden="false" customHeight="false" outlineLevel="0" collapsed="false">
      <c r="A9" s="4" t="s">
        <v>42</v>
      </c>
      <c r="B9" s="4"/>
      <c r="C9" s="4"/>
      <c r="D9" s="4"/>
      <c r="E9" s="4"/>
      <c r="F9" s="9" t="n">
        <f aca="false">SUM(F10:F11)</f>
        <v>1.2</v>
      </c>
      <c r="G9" s="4"/>
      <c r="H9" s="4" t="s">
        <v>373</v>
      </c>
      <c r="I9" s="4"/>
    </row>
    <row r="10" customFormat="false" ht="15" hidden="false" customHeight="false" outlineLevel="0" collapsed="false">
      <c r="A10" s="5" t="s">
        <v>374</v>
      </c>
      <c r="B10" s="5" t="n">
        <v>2</v>
      </c>
      <c r="C10" s="16" t="s">
        <v>102</v>
      </c>
      <c r="D10" s="16" t="s">
        <v>102</v>
      </c>
      <c r="E10" s="13" t="s">
        <v>102</v>
      </c>
      <c r="G10" s="5"/>
      <c r="H10" s="5"/>
      <c r="I10" s="13" t="s">
        <v>159</v>
      </c>
    </row>
    <row r="11" customFormat="false" ht="35.05" hidden="false" customHeight="false" outlineLevel="0" collapsed="false">
      <c r="A11" s="10" t="s">
        <v>369</v>
      </c>
      <c r="B11" s="10" t="n">
        <v>1</v>
      </c>
      <c r="C11" s="11" t="n">
        <v>1</v>
      </c>
      <c r="D11" s="11" t="n">
        <v>1.2</v>
      </c>
      <c r="E11" s="12" t="s">
        <v>102</v>
      </c>
      <c r="F11" s="11" t="n">
        <f aca="false">B11*C11*D11</f>
        <v>1.2</v>
      </c>
      <c r="G11" s="10" t="s">
        <v>370</v>
      </c>
      <c r="H11" s="10" t="s">
        <v>375</v>
      </c>
      <c r="I11" s="12" t="s">
        <v>372</v>
      </c>
    </row>
    <row r="13" customFormat="false" ht="23.85" hidden="false" customHeight="false" outlineLevel="0" collapsed="false">
      <c r="A13" s="4" t="s">
        <v>43</v>
      </c>
      <c r="B13" s="4"/>
      <c r="C13" s="4"/>
      <c r="D13" s="4"/>
      <c r="E13" s="4"/>
      <c r="F13" s="9" t="n">
        <f aca="false">SUM(F14:F15)</f>
        <v>1.52</v>
      </c>
      <c r="G13" s="4"/>
      <c r="H13" s="4" t="s">
        <v>376</v>
      </c>
      <c r="I13" s="4"/>
    </row>
    <row r="14" customFormat="false" ht="23.85" hidden="false" customHeight="false" outlineLevel="0" collapsed="false">
      <c r="A14" s="5" t="s">
        <v>377</v>
      </c>
      <c r="B14" s="5" t="n">
        <v>1</v>
      </c>
      <c r="C14" s="6" t="n">
        <v>0.4</v>
      </c>
      <c r="D14" s="6" t="n">
        <v>0.8</v>
      </c>
      <c r="E14" s="6" t="n">
        <v>1.35</v>
      </c>
      <c r="F14" s="6" t="n">
        <f aca="false">B14*C14*D14</f>
        <v>0.32</v>
      </c>
      <c r="G14" s="5" t="s">
        <v>378</v>
      </c>
      <c r="H14" s="5" t="s">
        <v>379</v>
      </c>
      <c r="I14" s="13" t="s">
        <v>380</v>
      </c>
    </row>
    <row r="15" customFormat="false" ht="35.05" hidden="false" customHeight="false" outlineLevel="0" collapsed="false">
      <c r="A15" s="10" t="s">
        <v>369</v>
      </c>
      <c r="B15" s="10" t="n">
        <v>1</v>
      </c>
      <c r="C15" s="11" t="n">
        <v>1</v>
      </c>
      <c r="D15" s="11" t="n">
        <v>1.2</v>
      </c>
      <c r="E15" s="12" t="s">
        <v>102</v>
      </c>
      <c r="F15" s="11" t="n">
        <f aca="false">B15*C15*D15</f>
        <v>1.2</v>
      </c>
      <c r="G15" s="10" t="s">
        <v>370</v>
      </c>
      <c r="H15" s="10" t="s">
        <v>381</v>
      </c>
      <c r="I15" s="12" t="s">
        <v>372</v>
      </c>
    </row>
    <row r="17" customFormat="false" ht="23.85" hidden="false" customHeight="false" outlineLevel="0" collapsed="false">
      <c r="A17" s="4" t="s">
        <v>44</v>
      </c>
      <c r="B17" s="4"/>
      <c r="C17" s="4"/>
      <c r="D17" s="4"/>
      <c r="E17" s="4"/>
      <c r="F17" s="9" t="n">
        <f aca="false">SUM(F18:F19)</f>
        <v>1.2</v>
      </c>
      <c r="G17" s="4"/>
      <c r="H17" s="4" t="s">
        <v>382</v>
      </c>
      <c r="I17" s="4"/>
    </row>
    <row r="18" customFormat="false" ht="15" hidden="false" customHeight="false" outlineLevel="0" collapsed="false">
      <c r="A18" s="5" t="s">
        <v>383</v>
      </c>
      <c r="B18" s="5" t="n">
        <v>1</v>
      </c>
      <c r="C18" s="16" t="s">
        <v>102</v>
      </c>
      <c r="D18" s="16" t="s">
        <v>102</v>
      </c>
      <c r="E18" s="13" t="s">
        <v>102</v>
      </c>
      <c r="G18" s="5"/>
      <c r="H18" s="5"/>
      <c r="I18" s="13" t="s">
        <v>159</v>
      </c>
    </row>
    <row r="19" customFormat="false" ht="35.05" hidden="false" customHeight="false" outlineLevel="0" collapsed="false">
      <c r="A19" s="10" t="s">
        <v>369</v>
      </c>
      <c r="B19" s="10" t="n">
        <v>1</v>
      </c>
      <c r="C19" s="11" t="n">
        <v>1</v>
      </c>
      <c r="D19" s="11" t="n">
        <v>1.2</v>
      </c>
      <c r="E19" s="12" t="s">
        <v>102</v>
      </c>
      <c r="F19" s="11" t="n">
        <f aca="false">B19*C19*D19</f>
        <v>1.2</v>
      </c>
      <c r="G19" s="10" t="s">
        <v>370</v>
      </c>
      <c r="H19" s="10" t="s">
        <v>384</v>
      </c>
      <c r="I19" s="12" t="s">
        <v>372</v>
      </c>
    </row>
    <row r="21" customFormat="false" ht="23.85" hidden="false" customHeight="false" outlineLevel="0" collapsed="false">
      <c r="A21" s="4" t="s">
        <v>45</v>
      </c>
      <c r="B21" s="4"/>
      <c r="C21" s="4"/>
      <c r="D21" s="4"/>
      <c r="E21" s="4"/>
      <c r="F21" s="9" t="n">
        <f aca="false">SUM(F22:F23)</f>
        <v>1.548</v>
      </c>
      <c r="G21" s="4"/>
      <c r="H21" s="4" t="s">
        <v>385</v>
      </c>
      <c r="I21" s="4"/>
    </row>
    <row r="22" customFormat="false" ht="23.85" hidden="false" customHeight="false" outlineLevel="0" collapsed="false">
      <c r="A22" s="5" t="s">
        <v>386</v>
      </c>
      <c r="B22" s="5" t="n">
        <v>1</v>
      </c>
      <c r="C22" s="6" t="n">
        <v>0.58</v>
      </c>
      <c r="D22" s="6" t="n">
        <v>0.6</v>
      </c>
      <c r="E22" s="6" t="n">
        <v>0.95</v>
      </c>
      <c r="F22" s="6" t="n">
        <f aca="false">B22*C22*D22</f>
        <v>0.348</v>
      </c>
      <c r="G22" s="5"/>
      <c r="H22" s="5" t="s">
        <v>379</v>
      </c>
      <c r="I22" s="13" t="s">
        <v>387</v>
      </c>
    </row>
    <row r="23" customFormat="false" ht="35.05" hidden="false" customHeight="false" outlineLevel="0" collapsed="false">
      <c r="A23" s="10" t="s">
        <v>369</v>
      </c>
      <c r="B23" s="10" t="n">
        <v>1</v>
      </c>
      <c r="C23" s="11" t="n">
        <v>1</v>
      </c>
      <c r="D23" s="11" t="n">
        <v>1.2</v>
      </c>
      <c r="E23" s="12" t="s">
        <v>102</v>
      </c>
      <c r="F23" s="11" t="n">
        <f aca="false">B23*C23*D23</f>
        <v>1.2</v>
      </c>
      <c r="G23" s="10" t="s">
        <v>370</v>
      </c>
      <c r="H23" s="10" t="s">
        <v>388</v>
      </c>
      <c r="I23" s="12" t="s">
        <v>372</v>
      </c>
    </row>
    <row r="25" customFormat="false" ht="23.85" hidden="false" customHeight="false" outlineLevel="0" collapsed="false">
      <c r="A25" s="4" t="s">
        <v>46</v>
      </c>
      <c r="B25" s="4"/>
      <c r="C25" s="4"/>
      <c r="D25" s="4"/>
      <c r="E25" s="4"/>
      <c r="F25" s="9" t="n">
        <f aca="false">SUM(F26:F27)</f>
        <v>1.5575</v>
      </c>
      <c r="G25" s="4"/>
      <c r="H25" s="4" t="s">
        <v>389</v>
      </c>
      <c r="I25" s="4"/>
    </row>
    <row r="26" customFormat="false" ht="23.85" hidden="false" customHeight="false" outlineLevel="0" collapsed="false">
      <c r="A26" s="5" t="s">
        <v>390</v>
      </c>
      <c r="B26" s="5" t="n">
        <v>1</v>
      </c>
      <c r="C26" s="6" t="n">
        <v>0.55</v>
      </c>
      <c r="D26" s="6" t="n">
        <v>0.65</v>
      </c>
      <c r="E26" s="6" t="n">
        <v>1.05</v>
      </c>
      <c r="F26" s="6" t="n">
        <f aca="false">B26*C26*D26</f>
        <v>0.3575</v>
      </c>
      <c r="G26" s="5"/>
      <c r="H26" s="5" t="s">
        <v>379</v>
      </c>
      <c r="I26" s="13" t="s">
        <v>391</v>
      </c>
    </row>
    <row r="27" customFormat="false" ht="35.05" hidden="false" customHeight="false" outlineLevel="0" collapsed="false">
      <c r="A27" s="10" t="s">
        <v>369</v>
      </c>
      <c r="B27" s="10" t="n">
        <v>1</v>
      </c>
      <c r="C27" s="11" t="n">
        <v>1</v>
      </c>
      <c r="D27" s="11" t="n">
        <v>1.2</v>
      </c>
      <c r="E27" s="12" t="s">
        <v>102</v>
      </c>
      <c r="F27" s="11" t="n">
        <f aca="false">B27*C27*D27</f>
        <v>1.2</v>
      </c>
      <c r="G27" s="10" t="s">
        <v>370</v>
      </c>
      <c r="H27" s="10" t="s">
        <v>392</v>
      </c>
      <c r="I27" s="12" t="s">
        <v>372</v>
      </c>
    </row>
    <row r="29" customFormat="false" ht="23.85" hidden="false" customHeight="false" outlineLevel="0" collapsed="false">
      <c r="A29" s="4" t="s">
        <v>47</v>
      </c>
      <c r="B29" s="4"/>
      <c r="C29" s="4"/>
      <c r="D29" s="4"/>
      <c r="E29" s="4"/>
      <c r="F29" s="9" t="n">
        <f aca="false">SUM(F30:F31)</f>
        <v>1.2</v>
      </c>
      <c r="G29" s="4"/>
      <c r="H29" s="4" t="s">
        <v>393</v>
      </c>
      <c r="I29" s="4"/>
    </row>
    <row r="30" customFormat="false" ht="23.85" hidden="false" customHeight="false" outlineLevel="0" collapsed="false">
      <c r="A30" s="5" t="s">
        <v>394</v>
      </c>
      <c r="B30" s="5" t="n">
        <v>1</v>
      </c>
      <c r="C30" s="16" t="s">
        <v>102</v>
      </c>
      <c r="D30" s="16" t="s">
        <v>102</v>
      </c>
      <c r="E30" s="13" t="s">
        <v>102</v>
      </c>
      <c r="G30" s="5"/>
      <c r="H30" s="5" t="s">
        <v>379</v>
      </c>
      <c r="I30" s="13" t="s">
        <v>395</v>
      </c>
    </row>
    <row r="31" customFormat="false" ht="35.05" hidden="false" customHeight="false" outlineLevel="0" collapsed="false">
      <c r="A31" s="10" t="s">
        <v>369</v>
      </c>
      <c r="B31" s="10" t="n">
        <v>1</v>
      </c>
      <c r="C31" s="11" t="n">
        <v>1</v>
      </c>
      <c r="D31" s="11" t="n">
        <v>1.2</v>
      </c>
      <c r="E31" s="12" t="s">
        <v>102</v>
      </c>
      <c r="F31" s="11" t="n">
        <f aca="false">B31*C31*D31</f>
        <v>1.2</v>
      </c>
      <c r="G31" s="10" t="s">
        <v>370</v>
      </c>
      <c r="H31" s="10" t="s">
        <v>396</v>
      </c>
      <c r="I31" s="12" t="s">
        <v>372</v>
      </c>
    </row>
    <row r="33" customFormat="false" ht="23.85" hidden="false" customHeight="false" outlineLevel="0" collapsed="false">
      <c r="A33" s="4" t="s">
        <v>48</v>
      </c>
      <c r="B33" s="4"/>
      <c r="C33" s="4"/>
      <c r="D33" s="4"/>
      <c r="E33" s="4"/>
      <c r="F33" s="9" t="n">
        <f aca="false">SUM(F34:F35)</f>
        <v>1.2</v>
      </c>
      <c r="G33" s="4"/>
      <c r="H33" s="4" t="s">
        <v>397</v>
      </c>
      <c r="I33" s="4"/>
    </row>
    <row r="34" customFormat="false" ht="15" hidden="false" customHeight="false" outlineLevel="0" collapsed="false">
      <c r="A34" s="5" t="s">
        <v>398</v>
      </c>
      <c r="B34" s="5" t="n">
        <v>2</v>
      </c>
      <c r="C34" s="16" t="s">
        <v>102</v>
      </c>
      <c r="D34" s="16" t="s">
        <v>102</v>
      </c>
      <c r="E34" s="13" t="s">
        <v>102</v>
      </c>
      <c r="G34" s="5"/>
      <c r="H34" s="5"/>
      <c r="I34" s="13" t="s">
        <v>159</v>
      </c>
    </row>
    <row r="35" customFormat="false" ht="35.05" hidden="false" customHeight="false" outlineLevel="0" collapsed="false">
      <c r="A35" s="10" t="s">
        <v>369</v>
      </c>
      <c r="B35" s="10" t="n">
        <v>1</v>
      </c>
      <c r="C35" s="11" t="n">
        <v>1</v>
      </c>
      <c r="D35" s="11" t="n">
        <v>1.2</v>
      </c>
      <c r="E35" s="12" t="s">
        <v>102</v>
      </c>
      <c r="F35" s="11" t="n">
        <f aca="false">B35*C35*D35</f>
        <v>1.2</v>
      </c>
      <c r="G35" s="10" t="s">
        <v>370</v>
      </c>
      <c r="H35" s="10" t="s">
        <v>399</v>
      </c>
      <c r="I35" s="12" t="s">
        <v>372</v>
      </c>
    </row>
    <row r="37" customFormat="false" ht="23.85" hidden="false" customHeight="false" outlineLevel="0" collapsed="false">
      <c r="A37" s="4" t="s">
        <v>49</v>
      </c>
      <c r="B37" s="4"/>
      <c r="C37" s="4"/>
      <c r="D37" s="4"/>
      <c r="E37" s="4"/>
      <c r="F37" s="9" t="n">
        <f aca="false">SUM(F38:F39)</f>
        <v>1.2</v>
      </c>
      <c r="G37" s="4"/>
      <c r="H37" s="4" t="s">
        <v>400</v>
      </c>
      <c r="I37" s="4"/>
    </row>
    <row r="38" customFormat="false" ht="15" hidden="false" customHeight="false" outlineLevel="0" collapsed="false">
      <c r="A38" s="5" t="s">
        <v>401</v>
      </c>
      <c r="B38" s="5" t="n">
        <v>1</v>
      </c>
      <c r="C38" s="16" t="s">
        <v>102</v>
      </c>
      <c r="D38" s="16" t="s">
        <v>102</v>
      </c>
      <c r="E38" s="13" t="s">
        <v>102</v>
      </c>
      <c r="G38" s="5"/>
      <c r="H38" s="5"/>
      <c r="I38" s="13" t="s">
        <v>159</v>
      </c>
    </row>
    <row r="39" customFormat="false" ht="35.05" hidden="false" customHeight="false" outlineLevel="0" collapsed="false">
      <c r="A39" s="10" t="s">
        <v>369</v>
      </c>
      <c r="B39" s="10" t="n">
        <v>1</v>
      </c>
      <c r="C39" s="11" t="n">
        <v>1</v>
      </c>
      <c r="D39" s="11" t="n">
        <v>1.2</v>
      </c>
      <c r="E39" s="12" t="s">
        <v>102</v>
      </c>
      <c r="F39" s="11" t="n">
        <f aca="false">B39*C39*D39</f>
        <v>1.2</v>
      </c>
      <c r="G39" s="10" t="s">
        <v>370</v>
      </c>
      <c r="H39" s="10" t="s">
        <v>402</v>
      </c>
      <c r="I39" s="12" t="s">
        <v>372</v>
      </c>
    </row>
    <row r="41" customFormat="false" ht="23.85" hidden="false" customHeight="false" outlineLevel="0" collapsed="false">
      <c r="A41" s="4" t="s">
        <v>50</v>
      </c>
      <c r="B41" s="4"/>
      <c r="C41" s="4"/>
      <c r="D41" s="4"/>
      <c r="E41" s="4"/>
      <c r="F41" s="9" t="n">
        <f aca="false">SUM(F42:F43)</f>
        <v>1.2</v>
      </c>
      <c r="G41" s="4"/>
      <c r="H41" s="4" t="s">
        <v>403</v>
      </c>
      <c r="I41" s="4"/>
    </row>
    <row r="42" customFormat="false" ht="15" hidden="false" customHeight="false" outlineLevel="0" collapsed="false">
      <c r="A42" s="5" t="s">
        <v>404</v>
      </c>
      <c r="B42" s="5" t="n">
        <v>1</v>
      </c>
      <c r="C42" s="16" t="s">
        <v>102</v>
      </c>
      <c r="D42" s="16" t="s">
        <v>102</v>
      </c>
      <c r="E42" s="13" t="s">
        <v>102</v>
      </c>
      <c r="G42" s="5"/>
      <c r="H42" s="5"/>
      <c r="I42" s="13" t="s">
        <v>159</v>
      </c>
    </row>
    <row r="43" customFormat="false" ht="35.05" hidden="false" customHeight="false" outlineLevel="0" collapsed="false">
      <c r="A43" s="10" t="s">
        <v>369</v>
      </c>
      <c r="B43" s="10" t="n">
        <v>1</v>
      </c>
      <c r="C43" s="11" t="n">
        <v>1</v>
      </c>
      <c r="D43" s="11" t="n">
        <v>1.2</v>
      </c>
      <c r="E43" s="12" t="s">
        <v>102</v>
      </c>
      <c r="F43" s="11" t="n">
        <f aca="false">B43*C43*D43</f>
        <v>1.2</v>
      </c>
      <c r="G43" s="10" t="s">
        <v>370</v>
      </c>
      <c r="H43" s="10" t="s">
        <v>405</v>
      </c>
      <c r="I43" s="12" t="s">
        <v>372</v>
      </c>
    </row>
    <row r="45" customFormat="false" ht="23.85" hidden="false" customHeight="false" outlineLevel="0" collapsed="false">
      <c r="A45" s="4" t="s">
        <v>51</v>
      </c>
      <c r="B45" s="4"/>
      <c r="C45" s="4"/>
      <c r="D45" s="4"/>
      <c r="E45" s="4"/>
      <c r="F45" s="9" t="n">
        <f aca="false">SUM(F46:F48)</f>
        <v>2.3143</v>
      </c>
      <c r="G45" s="4"/>
      <c r="H45" s="4" t="s">
        <v>406</v>
      </c>
      <c r="I45" s="4"/>
    </row>
    <row r="46" customFormat="false" ht="23.85" hidden="false" customHeight="false" outlineLevel="0" collapsed="false">
      <c r="A46" s="5" t="s">
        <v>407</v>
      </c>
      <c r="B46" s="5" t="n">
        <v>1</v>
      </c>
      <c r="C46" s="6" t="n">
        <v>0.59</v>
      </c>
      <c r="D46" s="6" t="n">
        <v>0.93</v>
      </c>
      <c r="E46" s="6" t="n">
        <v>0.98</v>
      </c>
      <c r="F46" s="6" t="n">
        <f aca="false">B46*C46*D46</f>
        <v>0.5487</v>
      </c>
      <c r="G46" s="5"/>
      <c r="H46" s="5" t="s">
        <v>379</v>
      </c>
      <c r="I46" s="13" t="s">
        <v>387</v>
      </c>
    </row>
    <row r="47" customFormat="false" ht="23.85" hidden="false" customHeight="false" outlineLevel="0" collapsed="false">
      <c r="A47" s="5" t="s">
        <v>408</v>
      </c>
      <c r="B47" s="5" t="n">
        <v>1</v>
      </c>
      <c r="C47" s="6" t="n">
        <v>0.56</v>
      </c>
      <c r="D47" s="6" t="n">
        <v>1.01</v>
      </c>
      <c r="E47" s="6" t="n">
        <v>1.2</v>
      </c>
      <c r="F47" s="6" t="n">
        <f aca="false">B47*C47*D47</f>
        <v>0.5656</v>
      </c>
      <c r="G47" s="5"/>
      <c r="H47" s="5" t="s">
        <v>379</v>
      </c>
      <c r="I47" s="13" t="s">
        <v>387</v>
      </c>
    </row>
    <row r="48" customFormat="false" ht="35.05" hidden="false" customHeight="false" outlineLevel="0" collapsed="false">
      <c r="A48" s="10" t="s">
        <v>369</v>
      </c>
      <c r="B48" s="10" t="n">
        <v>1</v>
      </c>
      <c r="C48" s="11" t="n">
        <v>1</v>
      </c>
      <c r="D48" s="11" t="n">
        <v>1.2</v>
      </c>
      <c r="E48" s="12" t="s">
        <v>102</v>
      </c>
      <c r="F48" s="11" t="n">
        <f aca="false">B48*C48*D48</f>
        <v>1.2</v>
      </c>
      <c r="G48" s="10" t="s">
        <v>370</v>
      </c>
      <c r="H48" s="10" t="s">
        <v>409</v>
      </c>
      <c r="I48" s="12" t="s">
        <v>372</v>
      </c>
    </row>
    <row r="50" customFormat="false" ht="23.85" hidden="false" customHeight="false" outlineLevel="0" collapsed="false">
      <c r="A50" s="4" t="s">
        <v>52</v>
      </c>
      <c r="B50" s="4"/>
      <c r="C50" s="4"/>
      <c r="D50" s="4"/>
      <c r="E50" s="4"/>
      <c r="F50" s="9" t="n">
        <f aca="false">SUM(F51:F52)</f>
        <v>1.66</v>
      </c>
      <c r="G50" s="4"/>
      <c r="H50" s="4" t="s">
        <v>410</v>
      </c>
      <c r="I50" s="4"/>
    </row>
    <row r="51" customFormat="false" ht="23.85" hidden="false" customHeight="false" outlineLevel="0" collapsed="false">
      <c r="A51" s="5" t="s">
        <v>411</v>
      </c>
      <c r="B51" s="5" t="n">
        <v>1</v>
      </c>
      <c r="C51" s="6" t="n">
        <v>0.46</v>
      </c>
      <c r="D51" s="6" t="n">
        <v>1</v>
      </c>
      <c r="E51" s="6" t="n">
        <v>1.1</v>
      </c>
      <c r="F51" s="6" t="n">
        <f aca="false">B51*C51*D51</f>
        <v>0.46</v>
      </c>
      <c r="G51" s="5"/>
      <c r="H51" s="5" t="s">
        <v>379</v>
      </c>
      <c r="I51" s="13" t="s">
        <v>387</v>
      </c>
    </row>
    <row r="52" customFormat="false" ht="35.05" hidden="false" customHeight="false" outlineLevel="0" collapsed="false">
      <c r="A52" s="10" t="s">
        <v>369</v>
      </c>
      <c r="B52" s="10" t="n">
        <v>1</v>
      </c>
      <c r="C52" s="11" t="n">
        <v>1</v>
      </c>
      <c r="D52" s="11" t="n">
        <v>1.2</v>
      </c>
      <c r="E52" s="12" t="s">
        <v>102</v>
      </c>
      <c r="F52" s="11" t="n">
        <f aca="false">B52*C52*D52</f>
        <v>1.2</v>
      </c>
      <c r="G52" s="10" t="s">
        <v>370</v>
      </c>
      <c r="H52" s="10" t="s">
        <v>412</v>
      </c>
      <c r="I52" s="12" t="s">
        <v>372</v>
      </c>
    </row>
    <row r="54" customFormat="false" ht="23.85" hidden="false" customHeight="false" outlineLevel="0" collapsed="false">
      <c r="A54" s="4" t="s">
        <v>53</v>
      </c>
      <c r="B54" s="4"/>
      <c r="C54" s="4"/>
      <c r="D54" s="4"/>
      <c r="E54" s="4"/>
      <c r="F54" s="9" t="n">
        <f aca="false">SUM(F55:F56)</f>
        <v>1.2</v>
      </c>
      <c r="G54" s="4"/>
      <c r="H54" s="4" t="s">
        <v>413</v>
      </c>
      <c r="I54" s="4"/>
    </row>
    <row r="55" customFormat="false" ht="15" hidden="false" customHeight="false" outlineLevel="0" collapsed="false">
      <c r="A55" s="5" t="s">
        <v>414</v>
      </c>
      <c r="B55" s="5" t="n">
        <v>1</v>
      </c>
      <c r="C55" s="16" t="s">
        <v>102</v>
      </c>
      <c r="D55" s="16" t="s">
        <v>102</v>
      </c>
      <c r="E55" s="13" t="s">
        <v>102</v>
      </c>
      <c r="G55" s="5"/>
      <c r="H55" s="5"/>
      <c r="I55" s="13" t="s">
        <v>159</v>
      </c>
    </row>
    <row r="56" customFormat="false" ht="35.05" hidden="false" customHeight="false" outlineLevel="0" collapsed="false">
      <c r="A56" s="10" t="s">
        <v>369</v>
      </c>
      <c r="B56" s="10" t="n">
        <v>1</v>
      </c>
      <c r="C56" s="11" t="n">
        <v>1</v>
      </c>
      <c r="D56" s="11" t="n">
        <v>1.2</v>
      </c>
      <c r="E56" s="12" t="s">
        <v>102</v>
      </c>
      <c r="F56" s="11" t="n">
        <f aca="false">B56*C56*D56</f>
        <v>1.2</v>
      </c>
      <c r="G56" s="10" t="s">
        <v>370</v>
      </c>
      <c r="H56" s="10" t="s">
        <v>415</v>
      </c>
      <c r="I56" s="12" t="s">
        <v>372</v>
      </c>
    </row>
    <row r="58" customFormat="false" ht="23.85" hidden="false" customHeight="false" outlineLevel="0" collapsed="false">
      <c r="A58" s="4" t="s">
        <v>54</v>
      </c>
      <c r="B58" s="4"/>
      <c r="C58" s="4"/>
      <c r="D58" s="4"/>
      <c r="E58" s="4"/>
      <c r="F58" s="9" t="n">
        <f aca="false">SUM(F59:F60)</f>
        <v>1.2</v>
      </c>
      <c r="G58" s="4"/>
      <c r="H58" s="4" t="s">
        <v>416</v>
      </c>
      <c r="I58" s="4"/>
    </row>
    <row r="59" customFormat="false" ht="15" hidden="false" customHeight="false" outlineLevel="0" collapsed="false">
      <c r="A59" s="5" t="s">
        <v>417</v>
      </c>
      <c r="B59" s="5" t="n">
        <v>2</v>
      </c>
      <c r="C59" s="16" t="s">
        <v>102</v>
      </c>
      <c r="D59" s="16" t="s">
        <v>102</v>
      </c>
      <c r="E59" s="13" t="s">
        <v>102</v>
      </c>
      <c r="G59" s="5"/>
      <c r="H59" s="5"/>
      <c r="I59" s="13" t="s">
        <v>159</v>
      </c>
    </row>
    <row r="60" customFormat="false" ht="35.05" hidden="false" customHeight="false" outlineLevel="0" collapsed="false">
      <c r="A60" s="10" t="s">
        <v>369</v>
      </c>
      <c r="B60" s="10" t="n">
        <v>1</v>
      </c>
      <c r="C60" s="11" t="n">
        <v>1</v>
      </c>
      <c r="D60" s="11" t="n">
        <v>1.2</v>
      </c>
      <c r="E60" s="12" t="s">
        <v>102</v>
      </c>
      <c r="F60" s="11" t="n">
        <f aca="false">B60*C60*D60</f>
        <v>1.2</v>
      </c>
      <c r="G60" s="10" t="s">
        <v>370</v>
      </c>
      <c r="H60" s="10" t="s">
        <v>418</v>
      </c>
      <c r="I60" s="12" t="s">
        <v>372</v>
      </c>
    </row>
    <row r="62" customFormat="false" ht="23.85" hidden="false" customHeight="false" outlineLevel="0" collapsed="false">
      <c r="A62" s="4" t="s">
        <v>55</v>
      </c>
      <c r="B62" s="4"/>
      <c r="C62" s="4"/>
      <c r="D62" s="4"/>
      <c r="E62" s="4"/>
      <c r="F62" s="9" t="n">
        <f aca="false">SUM(F63:F64)</f>
        <v>1.8324</v>
      </c>
      <c r="G62" s="4"/>
      <c r="H62" s="4" t="s">
        <v>419</v>
      </c>
      <c r="I62" s="4"/>
    </row>
    <row r="63" customFormat="false" ht="15" hidden="false" customHeight="false" outlineLevel="0" collapsed="false">
      <c r="A63" s="5" t="s">
        <v>256</v>
      </c>
      <c r="B63" s="5" t="n">
        <v>2</v>
      </c>
      <c r="C63" s="6" t="n">
        <v>0.51</v>
      </c>
      <c r="D63" s="6" t="n">
        <v>0.62</v>
      </c>
      <c r="E63" s="6" t="n">
        <v>1.2</v>
      </c>
      <c r="F63" s="6" t="n">
        <f aca="false">B63*C63*D63</f>
        <v>0.6324</v>
      </c>
      <c r="G63" s="5"/>
      <c r="H63" s="5" t="s">
        <v>257</v>
      </c>
      <c r="I63" s="13" t="s">
        <v>420</v>
      </c>
    </row>
    <row r="64" customFormat="false" ht="35.05" hidden="false" customHeight="false" outlineLevel="0" collapsed="false">
      <c r="A64" s="10" t="s">
        <v>369</v>
      </c>
      <c r="B64" s="10" t="n">
        <v>1</v>
      </c>
      <c r="C64" s="11" t="n">
        <v>1</v>
      </c>
      <c r="D64" s="11" t="n">
        <v>1.2</v>
      </c>
      <c r="E64" s="12" t="s">
        <v>102</v>
      </c>
      <c r="F64" s="11" t="n">
        <f aca="false">B64*C64*D64</f>
        <v>1.2</v>
      </c>
      <c r="G64" s="10" t="s">
        <v>370</v>
      </c>
      <c r="H64" s="10" t="s">
        <v>421</v>
      </c>
      <c r="I64" s="12" t="s">
        <v>372</v>
      </c>
    </row>
    <row r="66" customFormat="false" ht="23.85" hidden="false" customHeight="false" outlineLevel="0" collapsed="false">
      <c r="A66" s="4" t="s">
        <v>56</v>
      </c>
      <c r="B66" s="4"/>
      <c r="C66" s="4"/>
      <c r="D66" s="4"/>
      <c r="E66" s="4"/>
      <c r="F66" s="9" t="n">
        <f aca="false">SUM(F67:F68)</f>
        <v>1.732</v>
      </c>
      <c r="G66" s="4"/>
      <c r="H66" s="4" t="s">
        <v>422</v>
      </c>
      <c r="I66" s="4"/>
    </row>
    <row r="67" customFormat="false" ht="23.85" hidden="false" customHeight="false" outlineLevel="0" collapsed="false">
      <c r="A67" s="5" t="s">
        <v>423</v>
      </c>
      <c r="B67" s="5" t="n">
        <v>2</v>
      </c>
      <c r="C67" s="6" t="n">
        <v>0.35</v>
      </c>
      <c r="D67" s="6" t="n">
        <v>0.76</v>
      </c>
      <c r="E67" s="6" t="n">
        <v>0.32</v>
      </c>
      <c r="F67" s="6" t="n">
        <f aca="false">B67*C67*D67</f>
        <v>0.532</v>
      </c>
      <c r="G67" s="5"/>
      <c r="H67" s="5" t="s">
        <v>379</v>
      </c>
      <c r="I67" s="13" t="s">
        <v>387</v>
      </c>
    </row>
    <row r="68" customFormat="false" ht="35.05" hidden="false" customHeight="false" outlineLevel="0" collapsed="false">
      <c r="A68" s="10" t="s">
        <v>369</v>
      </c>
      <c r="B68" s="10" t="n">
        <v>1</v>
      </c>
      <c r="C68" s="11" t="n">
        <v>1</v>
      </c>
      <c r="D68" s="11" t="n">
        <v>1.2</v>
      </c>
      <c r="E68" s="12" t="s">
        <v>102</v>
      </c>
      <c r="F68" s="11" t="n">
        <f aca="false">B68*C68*D68</f>
        <v>1.2</v>
      </c>
      <c r="G68" s="10" t="s">
        <v>370</v>
      </c>
      <c r="H68" s="10" t="s">
        <v>424</v>
      </c>
      <c r="I68" s="12" t="s">
        <v>372</v>
      </c>
    </row>
    <row r="70" customFormat="false" ht="23.85" hidden="false" customHeight="false" outlineLevel="0" collapsed="false">
      <c r="A70" s="4" t="s">
        <v>57</v>
      </c>
      <c r="B70" s="4"/>
      <c r="C70" s="4"/>
      <c r="D70" s="4"/>
      <c r="E70" s="4"/>
      <c r="F70" s="9" t="n">
        <f aca="false">SUM(F71:F72)</f>
        <v>1.4925</v>
      </c>
      <c r="G70" s="4"/>
      <c r="H70" s="4" t="s">
        <v>425</v>
      </c>
      <c r="I70" s="4"/>
    </row>
    <row r="71" customFormat="false" ht="23.85" hidden="false" customHeight="false" outlineLevel="0" collapsed="false">
      <c r="A71" s="5" t="s">
        <v>426</v>
      </c>
      <c r="B71" s="5" t="n">
        <v>1</v>
      </c>
      <c r="C71" s="6" t="n">
        <v>0.5</v>
      </c>
      <c r="D71" s="6" t="n">
        <v>0.585</v>
      </c>
      <c r="E71" s="6" t="n">
        <v>1</v>
      </c>
      <c r="F71" s="6" t="n">
        <f aca="false">B71*C71*D71</f>
        <v>0.2925</v>
      </c>
      <c r="G71" s="5"/>
      <c r="H71" s="5" t="s">
        <v>379</v>
      </c>
      <c r="I71" s="13" t="s">
        <v>387</v>
      </c>
    </row>
    <row r="72" customFormat="false" ht="35.05" hidden="false" customHeight="false" outlineLevel="0" collapsed="false">
      <c r="A72" s="10" t="s">
        <v>369</v>
      </c>
      <c r="B72" s="10" t="n">
        <v>1</v>
      </c>
      <c r="C72" s="11" t="n">
        <v>1</v>
      </c>
      <c r="D72" s="11" t="n">
        <v>1.2</v>
      </c>
      <c r="E72" s="12" t="s">
        <v>102</v>
      </c>
      <c r="F72" s="11" t="n">
        <f aca="false">B72*C72*D72</f>
        <v>1.2</v>
      </c>
      <c r="G72" s="10" t="s">
        <v>370</v>
      </c>
      <c r="H72" s="10" t="s">
        <v>427</v>
      </c>
      <c r="I72" s="12" t="s">
        <v>372</v>
      </c>
    </row>
    <row r="74" customFormat="false" ht="23.85" hidden="false" customHeight="false" outlineLevel="0" collapsed="false">
      <c r="A74" s="4" t="s">
        <v>58</v>
      </c>
      <c r="B74" s="4"/>
      <c r="C74" s="4"/>
      <c r="D74" s="4"/>
      <c r="E74" s="4"/>
      <c r="F74" s="9" t="n">
        <f aca="false">SUM(F75:F76)</f>
        <v>1.2</v>
      </c>
      <c r="G74" s="4"/>
      <c r="H74" s="4" t="s">
        <v>428</v>
      </c>
      <c r="I74" s="4"/>
    </row>
    <row r="75" customFormat="false" ht="15" hidden="false" customHeight="false" outlineLevel="0" collapsed="false">
      <c r="A75" s="5" t="s">
        <v>429</v>
      </c>
      <c r="B75" s="5" t="n">
        <v>1</v>
      </c>
      <c r="C75" s="16" t="s">
        <v>102</v>
      </c>
      <c r="D75" s="16" t="s">
        <v>102</v>
      </c>
      <c r="E75" s="13" t="s">
        <v>102</v>
      </c>
      <c r="G75" s="5"/>
      <c r="H75" s="5"/>
      <c r="I75" s="13" t="s">
        <v>159</v>
      </c>
    </row>
    <row r="76" customFormat="false" ht="35.05" hidden="false" customHeight="false" outlineLevel="0" collapsed="false">
      <c r="A76" s="10" t="s">
        <v>369</v>
      </c>
      <c r="B76" s="10" t="n">
        <v>1</v>
      </c>
      <c r="C76" s="11" t="n">
        <v>1</v>
      </c>
      <c r="D76" s="11" t="n">
        <v>1.2</v>
      </c>
      <c r="E76" s="12" t="s">
        <v>102</v>
      </c>
      <c r="F76" s="11" t="n">
        <f aca="false">B76*C76*D76</f>
        <v>1.2</v>
      </c>
      <c r="G76" s="10" t="s">
        <v>370</v>
      </c>
      <c r="H76" s="10" t="s">
        <v>430</v>
      </c>
      <c r="I76" s="12" t="s">
        <v>372</v>
      </c>
    </row>
    <row r="78" customFormat="false" ht="23.85" hidden="false" customHeight="false" outlineLevel="0" collapsed="false">
      <c r="A78" s="4" t="s">
        <v>59</v>
      </c>
      <c r="B78" s="4"/>
      <c r="C78" s="4"/>
      <c r="D78" s="4"/>
      <c r="E78" s="4"/>
      <c r="F78" s="9" t="n">
        <f aca="false">SUM(F79:F80)</f>
        <v>1.2</v>
      </c>
      <c r="G78" s="4"/>
      <c r="H78" s="4" t="s">
        <v>431</v>
      </c>
      <c r="I78" s="4"/>
    </row>
    <row r="79" customFormat="false" ht="15" hidden="false" customHeight="false" outlineLevel="0" collapsed="false">
      <c r="A79" s="5" t="s">
        <v>432</v>
      </c>
      <c r="B79" s="5" t="n">
        <v>1</v>
      </c>
      <c r="C79" s="16" t="s">
        <v>102</v>
      </c>
      <c r="D79" s="16" t="s">
        <v>102</v>
      </c>
      <c r="E79" s="13" t="s">
        <v>102</v>
      </c>
      <c r="G79" s="5"/>
      <c r="H79" s="5"/>
      <c r="I79" s="13" t="s">
        <v>159</v>
      </c>
    </row>
    <row r="80" customFormat="false" ht="35.05" hidden="false" customHeight="false" outlineLevel="0" collapsed="false">
      <c r="A80" s="10" t="s">
        <v>369</v>
      </c>
      <c r="B80" s="10" t="n">
        <v>1</v>
      </c>
      <c r="C80" s="11" t="n">
        <v>1</v>
      </c>
      <c r="D80" s="11" t="n">
        <v>1.2</v>
      </c>
      <c r="E80" s="12" t="s">
        <v>102</v>
      </c>
      <c r="F80" s="11" t="n">
        <f aca="false">B80*C80*D80</f>
        <v>1.2</v>
      </c>
      <c r="G80" s="10" t="s">
        <v>370</v>
      </c>
      <c r="H80" s="10" t="s">
        <v>433</v>
      </c>
      <c r="I80" s="12" t="s">
        <v>372</v>
      </c>
    </row>
    <row r="82" customFormat="false" ht="23.85" hidden="false" customHeight="false" outlineLevel="0" collapsed="false">
      <c r="A82" s="4" t="s">
        <v>60</v>
      </c>
      <c r="B82" s="4"/>
      <c r="C82" s="4"/>
      <c r="D82" s="4"/>
      <c r="E82" s="4"/>
      <c r="F82" s="9" t="n">
        <f aca="false">SUM(F83:F84)</f>
        <v>6</v>
      </c>
      <c r="G82" s="4"/>
      <c r="H82" s="4" t="s">
        <v>434</v>
      </c>
      <c r="I82" s="4"/>
    </row>
    <row r="83" customFormat="false" ht="15" hidden="false" customHeight="false" outlineLevel="0" collapsed="false">
      <c r="A83" s="5" t="s">
        <v>283</v>
      </c>
      <c r="B83" s="5" t="n">
        <v>2</v>
      </c>
      <c r="C83" s="6" t="n">
        <v>1.8</v>
      </c>
      <c r="D83" s="6" t="n">
        <v>1</v>
      </c>
      <c r="E83" s="6" t="n">
        <v>0.9</v>
      </c>
      <c r="F83" s="6" t="n">
        <f aca="false">B83*C83*D83</f>
        <v>3.6</v>
      </c>
      <c r="G83" s="5"/>
      <c r="H83" s="5" t="s">
        <v>285</v>
      </c>
      <c r="I83" s="13" t="s">
        <v>387</v>
      </c>
    </row>
    <row r="84" customFormat="false" ht="35.05" hidden="false" customHeight="false" outlineLevel="0" collapsed="false">
      <c r="A84" s="10" t="s">
        <v>369</v>
      </c>
      <c r="B84" s="10" t="n">
        <v>2</v>
      </c>
      <c r="C84" s="11" t="n">
        <v>1</v>
      </c>
      <c r="D84" s="11" t="n">
        <v>1.2</v>
      </c>
      <c r="E84" s="12" t="s">
        <v>102</v>
      </c>
      <c r="F84" s="11" t="n">
        <f aca="false">B84*C84*D84</f>
        <v>2.4</v>
      </c>
      <c r="G84" s="10" t="s">
        <v>370</v>
      </c>
      <c r="H84" s="10" t="s">
        <v>435</v>
      </c>
      <c r="I84" s="12" t="s">
        <v>372</v>
      </c>
    </row>
    <row r="86" customFormat="false" ht="23.85" hidden="false" customHeight="false" outlineLevel="0" collapsed="false">
      <c r="A86" s="4" t="s">
        <v>61</v>
      </c>
      <c r="B86" s="4"/>
      <c r="C86" s="4"/>
      <c r="D86" s="4"/>
      <c r="E86" s="4"/>
      <c r="F86" s="9" t="n">
        <f aca="false">SUM(F87:F88)</f>
        <v>1.2</v>
      </c>
      <c r="G86" s="4"/>
      <c r="H86" s="4" t="s">
        <v>436</v>
      </c>
      <c r="I86" s="4"/>
    </row>
    <row r="87" customFormat="false" ht="15" hidden="false" customHeight="false" outlineLevel="0" collapsed="false">
      <c r="A87" s="5" t="s">
        <v>437</v>
      </c>
      <c r="B87" s="5" t="n">
        <v>2</v>
      </c>
      <c r="C87" s="16" t="s">
        <v>102</v>
      </c>
      <c r="D87" s="16" t="s">
        <v>102</v>
      </c>
      <c r="E87" s="13" t="s">
        <v>102</v>
      </c>
      <c r="G87" s="5"/>
      <c r="H87" s="5"/>
      <c r="I87" s="13" t="s">
        <v>159</v>
      </c>
    </row>
    <row r="88" customFormat="false" ht="35.05" hidden="false" customHeight="false" outlineLevel="0" collapsed="false">
      <c r="A88" s="10" t="s">
        <v>369</v>
      </c>
      <c r="B88" s="10" t="n">
        <v>1</v>
      </c>
      <c r="C88" s="11" t="n">
        <v>1</v>
      </c>
      <c r="D88" s="11" t="n">
        <v>1.2</v>
      </c>
      <c r="E88" s="12" t="s">
        <v>102</v>
      </c>
      <c r="F88" s="11" t="n">
        <f aca="false">B88*C88*D88</f>
        <v>1.2</v>
      </c>
      <c r="G88" s="10" t="s">
        <v>370</v>
      </c>
      <c r="H88" s="10" t="s">
        <v>438</v>
      </c>
      <c r="I88" s="12" t="s">
        <v>372</v>
      </c>
    </row>
    <row r="90" customFormat="false" ht="23.85" hidden="false" customHeight="false" outlineLevel="0" collapsed="false">
      <c r="A90" s="4" t="s">
        <v>62</v>
      </c>
      <c r="B90" s="4"/>
      <c r="C90" s="4"/>
      <c r="D90" s="4"/>
      <c r="E90" s="4"/>
      <c r="F90" s="9" t="n">
        <f aca="false">SUM(F91:F92)</f>
        <v>1.2</v>
      </c>
      <c r="G90" s="4"/>
      <c r="H90" s="4" t="s">
        <v>439</v>
      </c>
      <c r="I90" s="4"/>
    </row>
    <row r="91" customFormat="false" ht="15" hidden="false" customHeight="false" outlineLevel="0" collapsed="false">
      <c r="A91" s="5" t="s">
        <v>440</v>
      </c>
      <c r="B91" s="5" t="n">
        <v>1</v>
      </c>
      <c r="C91" s="16" t="s">
        <v>102</v>
      </c>
      <c r="D91" s="16" t="s">
        <v>102</v>
      </c>
      <c r="E91" s="13" t="s">
        <v>102</v>
      </c>
      <c r="G91" s="5"/>
      <c r="H91" s="5"/>
      <c r="I91" s="13" t="s">
        <v>159</v>
      </c>
    </row>
    <row r="92" customFormat="false" ht="35.05" hidden="false" customHeight="false" outlineLevel="0" collapsed="false">
      <c r="A92" s="10" t="s">
        <v>369</v>
      </c>
      <c r="B92" s="10" t="n">
        <v>1</v>
      </c>
      <c r="C92" s="11" t="n">
        <v>1</v>
      </c>
      <c r="D92" s="11" t="n">
        <v>1.2</v>
      </c>
      <c r="E92" s="12" t="s">
        <v>102</v>
      </c>
      <c r="F92" s="11" t="n">
        <f aca="false">B92*C92*D92</f>
        <v>1.2</v>
      </c>
      <c r="G92" s="10" t="s">
        <v>370</v>
      </c>
      <c r="H92" s="10" t="s">
        <v>441</v>
      </c>
      <c r="I92" s="12" t="s">
        <v>372</v>
      </c>
    </row>
    <row r="94" customFormat="false" ht="23.85" hidden="false" customHeight="false" outlineLevel="0" collapsed="false">
      <c r="A94" s="4" t="s">
        <v>63</v>
      </c>
      <c r="B94" s="4"/>
      <c r="C94" s="4"/>
      <c r="D94" s="4"/>
      <c r="E94" s="4"/>
      <c r="F94" s="9" t="n">
        <f aca="false">SUM(F95:F96)</f>
        <v>1.2</v>
      </c>
      <c r="G94" s="4"/>
      <c r="H94" s="4" t="s">
        <v>442</v>
      </c>
      <c r="I94" s="4"/>
    </row>
    <row r="95" customFormat="false" ht="15" hidden="false" customHeight="false" outlineLevel="0" collapsed="false">
      <c r="A95" s="5" t="s">
        <v>443</v>
      </c>
      <c r="B95" s="5" t="n">
        <v>1</v>
      </c>
      <c r="C95" s="16" t="s">
        <v>102</v>
      </c>
      <c r="D95" s="16" t="s">
        <v>102</v>
      </c>
      <c r="E95" s="13" t="s">
        <v>102</v>
      </c>
      <c r="G95" s="5"/>
      <c r="H95" s="5"/>
      <c r="I95" s="13" t="s">
        <v>159</v>
      </c>
    </row>
    <row r="96" customFormat="false" ht="35.05" hidden="false" customHeight="false" outlineLevel="0" collapsed="false">
      <c r="A96" s="10" t="s">
        <v>369</v>
      </c>
      <c r="B96" s="10" t="n">
        <v>1</v>
      </c>
      <c r="C96" s="11" t="n">
        <v>1</v>
      </c>
      <c r="D96" s="11" t="n">
        <v>1.2</v>
      </c>
      <c r="E96" s="12" t="s">
        <v>102</v>
      </c>
      <c r="F96" s="11" t="n">
        <f aca="false">B96*C96*D96</f>
        <v>1.2</v>
      </c>
      <c r="G96" s="10" t="s">
        <v>370</v>
      </c>
      <c r="H96" s="10" t="s">
        <v>444</v>
      </c>
      <c r="I96" s="12" t="s">
        <v>372</v>
      </c>
    </row>
    <row r="98" customFormat="false" ht="15" hidden="false" customHeight="false" outlineLevel="0" collapsed="false">
      <c r="A98" s="4" t="s">
        <v>64</v>
      </c>
      <c r="B98" s="4"/>
      <c r="C98" s="4"/>
      <c r="D98" s="4"/>
      <c r="E98" s="4"/>
      <c r="F98" s="9" t="n">
        <f aca="false">SUM(F99:F100)</f>
        <v>24</v>
      </c>
      <c r="G98" s="4"/>
      <c r="H98" s="4"/>
      <c r="I98" s="4"/>
    </row>
    <row r="99" customFormat="false" ht="23.85" hidden="false" customHeight="false" outlineLevel="0" collapsed="false">
      <c r="A99" s="5" t="s">
        <v>445</v>
      </c>
      <c r="B99" s="5" t="n">
        <v>10</v>
      </c>
      <c r="C99" s="6" t="n">
        <v>1</v>
      </c>
      <c r="D99" s="6" t="n">
        <v>1.2</v>
      </c>
      <c r="E99" s="13" t="s">
        <v>102</v>
      </c>
      <c r="F99" s="6" t="n">
        <f aca="false">B99*C99*D99</f>
        <v>12</v>
      </c>
      <c r="G99" s="5" t="s">
        <v>446</v>
      </c>
      <c r="H99" s="5" t="s">
        <v>447</v>
      </c>
      <c r="I99" s="13" t="s">
        <v>372</v>
      </c>
    </row>
    <row r="100" customFormat="false" ht="23.85" hidden="false" customHeight="false" outlineLevel="0" collapsed="false">
      <c r="A100" s="10" t="s">
        <v>448</v>
      </c>
      <c r="B100" s="10" t="n">
        <v>10</v>
      </c>
      <c r="C100" s="11" t="n">
        <v>1</v>
      </c>
      <c r="D100" s="11" t="n">
        <v>1.2</v>
      </c>
      <c r="E100" s="12" t="s">
        <v>102</v>
      </c>
      <c r="F100" s="11" t="n">
        <f aca="false">B100*C100*D100</f>
        <v>12</v>
      </c>
      <c r="G100" s="10" t="s">
        <v>446</v>
      </c>
      <c r="H100" s="10" t="s">
        <v>449</v>
      </c>
      <c r="I100" s="12" t="s">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22"/>
    <col collapsed="false" customWidth="true" hidden="false" outlineLevel="0" max="4" min="4" style="0" width="13"/>
    <col collapsed="false" customWidth="true" hidden="false" outlineLevel="0" max="5" min="5" style="0" width="36"/>
    <col collapsed="false" customWidth="true" hidden="false" outlineLevel="0" max="8" min="6" style="0" width="13"/>
    <col collapsed="false" customWidth="true" hidden="false" outlineLevel="0" max="9" min="9" style="0" width="40"/>
    <col collapsed="false" customWidth="true" hidden="false" outlineLevel="0" max="12" min="10" style="0" width="13"/>
    <col collapsed="false" customWidth="true" hidden="false" outlineLevel="0" max="13" min="13" style="0" width="46"/>
  </cols>
  <sheetData>
    <row r="1" customFormat="false" ht="16.15" hidden="false" customHeight="false" outlineLevel="0" collapsed="false">
      <c r="A1" s="1" t="s">
        <v>450</v>
      </c>
    </row>
    <row r="2" customFormat="false" ht="30" hidden="false" customHeight="true" outlineLevel="0" collapsed="false">
      <c r="A2" s="17" t="s">
        <v>451</v>
      </c>
      <c r="B2" s="17"/>
      <c r="C2" s="17"/>
      <c r="D2" s="17"/>
      <c r="E2" s="17"/>
      <c r="F2" s="17"/>
      <c r="G2" s="17"/>
      <c r="H2" s="17"/>
      <c r="I2" s="17"/>
      <c r="J2" s="17"/>
      <c r="K2" s="17"/>
      <c r="L2" s="17"/>
      <c r="M2" s="17"/>
    </row>
    <row r="4" customFormat="false" ht="23.85" hidden="false" customHeight="false" outlineLevel="0" collapsed="false">
      <c r="A4" s="3" t="s">
        <v>452</v>
      </c>
      <c r="B4" s="3" t="s">
        <v>453</v>
      </c>
      <c r="C4" s="3" t="s">
        <v>454</v>
      </c>
      <c r="D4" s="3" t="s">
        <v>455</v>
      </c>
      <c r="E4" s="3" t="s">
        <v>456</v>
      </c>
      <c r="F4" s="3" t="s">
        <v>457</v>
      </c>
      <c r="G4" s="3" t="s">
        <v>458</v>
      </c>
      <c r="H4" s="3" t="s">
        <v>459</v>
      </c>
      <c r="I4" s="3" t="s">
        <v>460</v>
      </c>
      <c r="J4" s="3" t="s">
        <v>461</v>
      </c>
      <c r="K4" s="3" t="s">
        <v>462</v>
      </c>
      <c r="L4" s="3" t="s">
        <v>463</v>
      </c>
      <c r="M4" s="3" t="s">
        <v>464</v>
      </c>
    </row>
    <row r="5" customFormat="false" ht="15" hidden="false" customHeight="false" outlineLevel="0" collapsed="false">
      <c r="A5" s="4" t="s">
        <v>4</v>
      </c>
      <c r="B5" s="4"/>
      <c r="C5" s="4"/>
      <c r="D5" s="4"/>
      <c r="E5" s="4"/>
      <c r="F5" s="4"/>
      <c r="G5" s="4"/>
      <c r="H5" s="4"/>
      <c r="I5" s="4"/>
      <c r="J5" s="4"/>
      <c r="K5" s="4"/>
      <c r="L5" s="4"/>
      <c r="M5" s="4"/>
    </row>
    <row r="6" customFormat="false" ht="35.05" hidden="false" customHeight="false" outlineLevel="0" collapsed="false">
      <c r="A6" s="5" t="s">
        <v>465</v>
      </c>
      <c r="B6" s="5" t="s">
        <v>466</v>
      </c>
      <c r="C6" s="5" t="s">
        <v>467</v>
      </c>
      <c r="D6" s="18" t="n">
        <v>90</v>
      </c>
      <c r="E6" s="5" t="s">
        <v>468</v>
      </c>
      <c r="F6" s="18" t="n">
        <v>0</v>
      </c>
      <c r="G6" s="18" t="n">
        <v>0</v>
      </c>
      <c r="H6" s="18" t="n">
        <v>0</v>
      </c>
      <c r="I6" s="5" t="s">
        <v>469</v>
      </c>
      <c r="J6" s="6" t="n">
        <v>0</v>
      </c>
      <c r="K6" s="18" t="n">
        <v>0</v>
      </c>
      <c r="L6" s="6" t="n">
        <f aca="false">K6*1</f>
        <v>0</v>
      </c>
      <c r="M6" s="5"/>
    </row>
    <row r="7" customFormat="false" ht="35.05" hidden="false" customHeight="false" outlineLevel="0" collapsed="false">
      <c r="A7" s="5" t="s">
        <v>470</v>
      </c>
      <c r="B7" s="5" t="s">
        <v>471</v>
      </c>
      <c r="C7" s="5" t="s">
        <v>472</v>
      </c>
      <c r="D7" s="18" t="n">
        <v>1505</v>
      </c>
      <c r="E7" s="5" t="s">
        <v>473</v>
      </c>
      <c r="F7" s="18" t="n">
        <v>15</v>
      </c>
      <c r="G7" s="18" t="n">
        <v>3</v>
      </c>
      <c r="H7" s="18" t="n">
        <v>1</v>
      </c>
      <c r="I7" s="5" t="s">
        <v>474</v>
      </c>
      <c r="J7" s="6" t="n">
        <v>5.32</v>
      </c>
      <c r="K7" s="18" t="n">
        <v>1</v>
      </c>
      <c r="L7" s="6" t="n">
        <f aca="false">G7*1.44+IF(K7&gt;0,1,0)</f>
        <v>5.32</v>
      </c>
      <c r="M7" s="5"/>
    </row>
    <row r="8" customFormat="false" ht="23.85" hidden="false" customHeight="false" outlineLevel="0" collapsed="false">
      <c r="A8" s="5" t="s">
        <v>475</v>
      </c>
      <c r="B8" s="5" t="s">
        <v>476</v>
      </c>
      <c r="C8" s="5" t="s">
        <v>477</v>
      </c>
      <c r="D8" s="18" t="n">
        <v>607</v>
      </c>
      <c r="E8" s="5" t="s">
        <v>478</v>
      </c>
      <c r="F8" s="18" t="n">
        <v>20</v>
      </c>
      <c r="G8" s="18" t="n">
        <v>7</v>
      </c>
      <c r="H8" s="18" t="n">
        <v>1</v>
      </c>
      <c r="I8" s="5" t="s">
        <v>474</v>
      </c>
      <c r="J8" s="6" t="n">
        <v>11.08</v>
      </c>
      <c r="K8" s="18" t="n">
        <v>1</v>
      </c>
      <c r="L8" s="6" t="n">
        <f aca="false">G8*1.44+IF(K8&gt;0,1,0)</f>
        <v>11.08</v>
      </c>
      <c r="M8" s="5"/>
    </row>
    <row r="9" customFormat="false" ht="23.85" hidden="false" customHeight="false" outlineLevel="0" collapsed="false">
      <c r="A9" s="5" t="s">
        <v>479</v>
      </c>
      <c r="B9" s="5" t="s">
        <v>480</v>
      </c>
      <c r="C9" s="5" t="s">
        <v>481</v>
      </c>
      <c r="D9" s="18" t="n">
        <v>405</v>
      </c>
      <c r="E9" s="5" t="s">
        <v>478</v>
      </c>
      <c r="F9" s="18" t="n">
        <v>10</v>
      </c>
      <c r="G9" s="18" t="n">
        <v>4</v>
      </c>
      <c r="H9" s="18" t="n">
        <v>2</v>
      </c>
      <c r="I9" s="5" t="s">
        <v>482</v>
      </c>
      <c r="J9" s="6" t="n">
        <v>6.76</v>
      </c>
      <c r="K9" s="19" t="n">
        <v>1</v>
      </c>
      <c r="L9" s="6" t="n">
        <f aca="false">G9*1.44+IF(K9&gt;0,1,0)</f>
        <v>6.76</v>
      </c>
      <c r="M9" s="13" t="s">
        <v>483</v>
      </c>
    </row>
    <row r="10" customFormat="false" ht="23.85" hidden="false" customHeight="false" outlineLevel="0" collapsed="false">
      <c r="A10" s="5" t="s">
        <v>484</v>
      </c>
      <c r="B10" s="5" t="s">
        <v>485</v>
      </c>
      <c r="C10" s="5" t="s">
        <v>486</v>
      </c>
      <c r="D10" s="18" t="n">
        <v>6609</v>
      </c>
      <c r="E10" s="5" t="s">
        <v>487</v>
      </c>
      <c r="F10" s="18" t="n">
        <v>65</v>
      </c>
      <c r="G10" s="18" t="n">
        <v>2</v>
      </c>
      <c r="H10" s="18" t="n">
        <v>1</v>
      </c>
      <c r="I10" s="5" t="s">
        <v>474</v>
      </c>
      <c r="J10" s="6" t="n">
        <v>11.38</v>
      </c>
      <c r="K10" s="18" t="n">
        <v>1</v>
      </c>
      <c r="L10" s="6" t="n">
        <f aca="false">J10</f>
        <v>11.38</v>
      </c>
      <c r="M10" s="5"/>
    </row>
    <row r="11" customFormat="false" ht="23.85" hidden="false" customHeight="false" outlineLevel="0" collapsed="false">
      <c r="A11" s="5" t="s">
        <v>488</v>
      </c>
      <c r="B11" s="5" t="s">
        <v>489</v>
      </c>
      <c r="C11" s="5" t="s">
        <v>490</v>
      </c>
      <c r="D11" s="18" t="n">
        <v>6765</v>
      </c>
      <c r="E11" s="5" t="s">
        <v>487</v>
      </c>
      <c r="F11" s="18" t="n">
        <v>80</v>
      </c>
      <c r="G11" s="18" t="n">
        <v>2</v>
      </c>
      <c r="H11" s="18" t="n">
        <v>1</v>
      </c>
      <c r="I11" s="5" t="s">
        <v>474</v>
      </c>
      <c r="J11" s="6" t="n">
        <v>12.31</v>
      </c>
      <c r="K11" s="18" t="n">
        <v>1</v>
      </c>
      <c r="L11" s="6" t="n">
        <f aca="false">J11</f>
        <v>12.31</v>
      </c>
      <c r="M11" s="5"/>
    </row>
    <row r="12" customFormat="false" ht="23.85" hidden="false" customHeight="false" outlineLevel="0" collapsed="false">
      <c r="A12" s="5" t="s">
        <v>491</v>
      </c>
      <c r="B12" s="5" t="s">
        <v>492</v>
      </c>
      <c r="C12" s="5" t="s">
        <v>493</v>
      </c>
      <c r="D12" s="18" t="n">
        <v>201</v>
      </c>
      <c r="E12" s="5" t="s">
        <v>494</v>
      </c>
      <c r="F12" s="18" t="n">
        <v>0</v>
      </c>
      <c r="G12" s="18" t="n">
        <v>0</v>
      </c>
      <c r="H12" s="18" t="n">
        <v>0</v>
      </c>
      <c r="I12" s="5" t="s">
        <v>469</v>
      </c>
      <c r="J12" s="6" t="n">
        <v>0</v>
      </c>
      <c r="K12" s="18" t="n">
        <v>0</v>
      </c>
      <c r="L12" s="6" t="n">
        <f aca="false">K12*1</f>
        <v>0</v>
      </c>
      <c r="M12" s="5"/>
    </row>
    <row r="13" customFormat="false" ht="23.85" hidden="false" customHeight="false" outlineLevel="0" collapsed="false">
      <c r="A13" s="5" t="s">
        <v>495</v>
      </c>
      <c r="B13" s="5" t="s">
        <v>496</v>
      </c>
      <c r="C13" s="5" t="s">
        <v>497</v>
      </c>
      <c r="D13" s="18" t="n">
        <v>407</v>
      </c>
      <c r="E13" s="5" t="s">
        <v>498</v>
      </c>
      <c r="F13" s="18" t="n">
        <v>9</v>
      </c>
      <c r="G13" s="18" t="n">
        <v>1</v>
      </c>
      <c r="H13" s="18" t="n">
        <v>1</v>
      </c>
      <c r="I13" s="5" t="s">
        <v>474</v>
      </c>
      <c r="J13" s="6" t="n">
        <v>2.44</v>
      </c>
      <c r="K13" s="18" t="n">
        <v>1</v>
      </c>
      <c r="L13" s="6" t="n">
        <f aca="false">G13*1.44+IF(K13&gt;0,1,0)</f>
        <v>2.44</v>
      </c>
      <c r="M13" s="5"/>
    </row>
    <row r="14" customFormat="false" ht="23.85" hidden="false" customHeight="false" outlineLevel="0" collapsed="false">
      <c r="A14" s="5" t="s">
        <v>499</v>
      </c>
      <c r="B14" s="5" t="s">
        <v>500</v>
      </c>
      <c r="C14" s="5" t="s">
        <v>501</v>
      </c>
      <c r="D14" s="18" t="n">
        <v>315</v>
      </c>
      <c r="E14" s="5" t="s">
        <v>502</v>
      </c>
      <c r="F14" s="18" t="n">
        <v>3</v>
      </c>
      <c r="G14" s="18" t="n">
        <v>0</v>
      </c>
      <c r="H14" s="18" t="n">
        <v>2</v>
      </c>
      <c r="I14" s="5" t="s">
        <v>503</v>
      </c>
      <c r="J14" s="6" t="n">
        <v>2</v>
      </c>
      <c r="K14" s="19" t="n">
        <v>1</v>
      </c>
      <c r="L14" s="6" t="n">
        <f aca="false">K14*1</f>
        <v>1</v>
      </c>
      <c r="M14" s="13" t="s">
        <v>504</v>
      </c>
    </row>
    <row r="15" customFormat="false" ht="23.85" hidden="false" customHeight="false" outlineLevel="0" collapsed="false">
      <c r="A15" s="5" t="s">
        <v>505</v>
      </c>
      <c r="B15" s="5" t="s">
        <v>506</v>
      </c>
      <c r="C15" s="5" t="s">
        <v>497</v>
      </c>
      <c r="D15" s="18" t="n">
        <v>691</v>
      </c>
      <c r="E15" s="5" t="s">
        <v>478</v>
      </c>
      <c r="F15" s="18" t="n">
        <v>21</v>
      </c>
      <c r="G15" s="18" t="n">
        <v>7</v>
      </c>
      <c r="H15" s="18" t="n">
        <v>1</v>
      </c>
      <c r="I15" s="5" t="s">
        <v>474</v>
      </c>
      <c r="J15" s="6" t="n">
        <v>11.08</v>
      </c>
      <c r="K15" s="18" t="n">
        <v>1</v>
      </c>
      <c r="L15" s="6" t="n">
        <f aca="false">G15*1.44+IF(K15&gt;0,1,0)</f>
        <v>11.08</v>
      </c>
      <c r="M15" s="5"/>
    </row>
    <row r="16" customFormat="false" ht="23.85" hidden="false" customHeight="false" outlineLevel="0" collapsed="false">
      <c r="A16" s="5" t="s">
        <v>507</v>
      </c>
      <c r="B16" s="5" t="s">
        <v>508</v>
      </c>
      <c r="C16" s="5" t="s">
        <v>509</v>
      </c>
      <c r="D16" s="18" t="n">
        <v>371</v>
      </c>
      <c r="E16" s="5" t="s">
        <v>502</v>
      </c>
      <c r="F16" s="18" t="n">
        <v>11</v>
      </c>
      <c r="G16" s="18" t="n">
        <v>0</v>
      </c>
      <c r="H16" s="18" t="n">
        <v>5</v>
      </c>
      <c r="I16" s="5" t="s">
        <v>510</v>
      </c>
      <c r="J16" s="6" t="n">
        <v>5</v>
      </c>
      <c r="K16" s="18" t="n">
        <v>5</v>
      </c>
      <c r="L16" s="6" t="n">
        <f aca="false">K16*1</f>
        <v>5</v>
      </c>
      <c r="M16" s="5" t="s">
        <v>511</v>
      </c>
    </row>
    <row r="17" customFormat="false" ht="23.85" hidden="false" customHeight="false" outlineLevel="0" collapsed="false">
      <c r="A17" s="5" t="s">
        <v>512</v>
      </c>
      <c r="B17" s="5" t="s">
        <v>513</v>
      </c>
      <c r="C17" s="5" t="s">
        <v>514</v>
      </c>
      <c r="D17" s="18" t="n">
        <v>346</v>
      </c>
      <c r="E17" s="5" t="s">
        <v>502</v>
      </c>
      <c r="F17" s="18" t="n">
        <v>5</v>
      </c>
      <c r="G17" s="18" t="n">
        <v>0</v>
      </c>
      <c r="H17" s="18" t="n">
        <v>3</v>
      </c>
      <c r="I17" s="5" t="s">
        <v>515</v>
      </c>
      <c r="J17" s="6" t="n">
        <v>3</v>
      </c>
      <c r="K17" s="18" t="n">
        <v>3</v>
      </c>
      <c r="L17" s="6" t="n">
        <f aca="false">K17*1</f>
        <v>3</v>
      </c>
      <c r="M17" s="5" t="s">
        <v>511</v>
      </c>
    </row>
    <row r="18" customFormat="false" ht="23.85" hidden="false" customHeight="false" outlineLevel="0" collapsed="false">
      <c r="A18" s="5" t="s">
        <v>516</v>
      </c>
      <c r="B18" s="5" t="s">
        <v>517</v>
      </c>
      <c r="C18" s="5" t="s">
        <v>518</v>
      </c>
      <c r="D18" s="18" t="n">
        <v>336</v>
      </c>
      <c r="E18" s="5" t="s">
        <v>502</v>
      </c>
      <c r="F18" s="18" t="n">
        <v>6</v>
      </c>
      <c r="G18" s="18" t="n">
        <v>0</v>
      </c>
      <c r="H18" s="18" t="n">
        <v>3</v>
      </c>
      <c r="I18" s="5" t="s">
        <v>519</v>
      </c>
      <c r="J18" s="6" t="n">
        <v>3</v>
      </c>
      <c r="K18" s="18" t="n">
        <v>3</v>
      </c>
      <c r="L18" s="6" t="n">
        <f aca="false">K18*1</f>
        <v>3</v>
      </c>
      <c r="M18" s="5" t="s">
        <v>511</v>
      </c>
    </row>
    <row r="19" customFormat="false" ht="15" hidden="false" customHeight="false" outlineLevel="0" collapsed="false">
      <c r="A19" s="5" t="s">
        <v>520</v>
      </c>
      <c r="B19" s="5" t="s">
        <v>521</v>
      </c>
      <c r="C19" s="5" t="s">
        <v>522</v>
      </c>
      <c r="D19" s="18" t="n">
        <v>488</v>
      </c>
      <c r="E19" s="5" t="s">
        <v>478</v>
      </c>
      <c r="F19" s="18" t="n">
        <v>7</v>
      </c>
      <c r="G19" s="18" t="n">
        <v>2</v>
      </c>
      <c r="H19" s="18" t="n">
        <v>1</v>
      </c>
      <c r="I19" s="5" t="s">
        <v>474</v>
      </c>
      <c r="J19" s="6" t="n">
        <v>3.88</v>
      </c>
      <c r="K19" s="18" t="n">
        <v>1</v>
      </c>
      <c r="L19" s="6" t="n">
        <f aca="false">G19*1.44+IF(K19&gt;0,1,0)</f>
        <v>3.88</v>
      </c>
      <c r="M19" s="5"/>
    </row>
    <row r="20" customFormat="false" ht="23.85" hidden="false" customHeight="false" outlineLevel="0" collapsed="false">
      <c r="A20" s="5" t="s">
        <v>523</v>
      </c>
      <c r="B20" s="5" t="s">
        <v>524</v>
      </c>
      <c r="C20" s="5" t="s">
        <v>525</v>
      </c>
      <c r="D20" s="18" t="n">
        <v>421</v>
      </c>
      <c r="E20" s="5" t="s">
        <v>478</v>
      </c>
      <c r="F20" s="18" t="n">
        <v>5</v>
      </c>
      <c r="G20" s="18" t="n">
        <v>2</v>
      </c>
      <c r="H20" s="18" t="n">
        <v>2</v>
      </c>
      <c r="I20" s="5" t="s">
        <v>526</v>
      </c>
      <c r="J20" s="6" t="n">
        <v>3.88</v>
      </c>
      <c r="K20" s="19" t="n">
        <v>1</v>
      </c>
      <c r="L20" s="6" t="n">
        <f aca="false">G20*1.44+IF(K20&gt;0,1,0)</f>
        <v>3.88</v>
      </c>
      <c r="M20" s="13" t="s">
        <v>483</v>
      </c>
    </row>
    <row r="21" customFormat="false" ht="23.85" hidden="false" customHeight="false" outlineLevel="0" collapsed="false">
      <c r="A21" s="5" t="s">
        <v>527</v>
      </c>
      <c r="B21" s="5" t="s">
        <v>528</v>
      </c>
      <c r="C21" s="5" t="s">
        <v>529</v>
      </c>
      <c r="D21" s="18" t="n">
        <v>330</v>
      </c>
      <c r="E21" s="5" t="s">
        <v>478</v>
      </c>
      <c r="F21" s="18" t="n">
        <v>11</v>
      </c>
      <c r="G21" s="18" t="n">
        <v>4</v>
      </c>
      <c r="H21" s="18" t="n">
        <v>2</v>
      </c>
      <c r="I21" s="5" t="s">
        <v>526</v>
      </c>
      <c r="J21" s="6" t="n">
        <v>6.76</v>
      </c>
      <c r="K21" s="19" t="n">
        <v>1</v>
      </c>
      <c r="L21" s="6" t="n">
        <f aca="false">G21*1.44+IF(K21&gt;0,1,0)</f>
        <v>6.76</v>
      </c>
      <c r="M21" s="13" t="s">
        <v>483</v>
      </c>
    </row>
    <row r="22" customFormat="false" ht="15" hidden="false" customHeight="false" outlineLevel="0" collapsed="false">
      <c r="A22" s="5" t="s">
        <v>530</v>
      </c>
      <c r="B22" s="5" t="s">
        <v>531</v>
      </c>
      <c r="C22" s="5" t="s">
        <v>532</v>
      </c>
      <c r="D22" s="18" t="n">
        <v>183</v>
      </c>
      <c r="E22" s="5" t="s">
        <v>478</v>
      </c>
      <c r="F22" s="18" t="n">
        <v>9</v>
      </c>
      <c r="G22" s="18" t="n">
        <v>3</v>
      </c>
      <c r="H22" s="18" t="n">
        <v>1</v>
      </c>
      <c r="I22" s="5" t="s">
        <v>474</v>
      </c>
      <c r="J22" s="6" t="n">
        <v>5.32</v>
      </c>
      <c r="K22" s="18" t="n">
        <v>1</v>
      </c>
      <c r="L22" s="6" t="n">
        <f aca="false">G22*1.44+IF(K22&gt;0,1,0)</f>
        <v>5.32</v>
      </c>
      <c r="M22" s="5"/>
    </row>
    <row r="23" customFormat="false" ht="15" hidden="false" customHeight="false" outlineLevel="0" collapsed="false">
      <c r="A23" s="5" t="s">
        <v>533</v>
      </c>
      <c r="B23" s="5" t="s">
        <v>534</v>
      </c>
      <c r="C23" s="5" t="s">
        <v>535</v>
      </c>
      <c r="D23" s="18" t="n">
        <v>168</v>
      </c>
      <c r="E23" s="5" t="s">
        <v>478</v>
      </c>
      <c r="F23" s="18" t="n">
        <v>7</v>
      </c>
      <c r="G23" s="18" t="n">
        <v>3</v>
      </c>
      <c r="H23" s="18" t="n">
        <v>1</v>
      </c>
      <c r="I23" s="5" t="s">
        <v>474</v>
      </c>
      <c r="J23" s="6" t="n">
        <v>5.32</v>
      </c>
      <c r="K23" s="18" t="n">
        <v>1</v>
      </c>
      <c r="L23" s="6" t="n">
        <f aca="false">G23*1.44+IF(K23&gt;0,1,0)</f>
        <v>5.32</v>
      </c>
      <c r="M23" s="5"/>
    </row>
    <row r="24" customFormat="false" ht="23.85" hidden="false" customHeight="false" outlineLevel="0" collapsed="false">
      <c r="A24" s="5" t="s">
        <v>536</v>
      </c>
      <c r="B24" s="5" t="s">
        <v>537</v>
      </c>
      <c r="C24" s="5" t="s">
        <v>538</v>
      </c>
      <c r="D24" s="18" t="n">
        <v>161</v>
      </c>
      <c r="E24" s="5" t="s">
        <v>478</v>
      </c>
      <c r="F24" s="18" t="n">
        <v>3</v>
      </c>
      <c r="G24" s="18" t="n">
        <v>1</v>
      </c>
      <c r="H24" s="18" t="n">
        <v>1</v>
      </c>
      <c r="I24" s="5" t="s">
        <v>474</v>
      </c>
      <c r="J24" s="6" t="n">
        <v>2.44</v>
      </c>
      <c r="K24" s="18" t="n">
        <v>1</v>
      </c>
      <c r="L24" s="6" t="n">
        <f aca="false">G24*1.44+IF(K24&gt;0,1,0)</f>
        <v>2.44</v>
      </c>
      <c r="M24" s="5"/>
    </row>
    <row r="25" customFormat="false" ht="23.85" hidden="false" customHeight="false" outlineLevel="0" collapsed="false">
      <c r="A25" s="5" t="s">
        <v>539</v>
      </c>
      <c r="B25" s="5" t="s">
        <v>540</v>
      </c>
      <c r="C25" s="5" t="s">
        <v>541</v>
      </c>
      <c r="D25" s="18" t="n">
        <v>241</v>
      </c>
      <c r="E25" s="5" t="s">
        <v>478</v>
      </c>
      <c r="F25" s="18" t="n">
        <v>8</v>
      </c>
      <c r="G25" s="18" t="n">
        <v>3</v>
      </c>
      <c r="H25" s="18" t="n">
        <v>1</v>
      </c>
      <c r="I25" s="5" t="s">
        <v>474</v>
      </c>
      <c r="J25" s="6" t="n">
        <v>5.32</v>
      </c>
      <c r="K25" s="18" t="n">
        <v>1</v>
      </c>
      <c r="L25" s="6" t="n">
        <f aca="false">G25*1.44+IF(K25&gt;0,1,0)</f>
        <v>5.32</v>
      </c>
      <c r="M25" s="5"/>
    </row>
    <row r="26" customFormat="false" ht="23.85" hidden="false" customHeight="false" outlineLevel="0" collapsed="false">
      <c r="A26" s="5" t="s">
        <v>542</v>
      </c>
      <c r="B26" s="5" t="s">
        <v>543</v>
      </c>
      <c r="C26" s="5" t="s">
        <v>525</v>
      </c>
      <c r="D26" s="18" t="n">
        <v>161</v>
      </c>
      <c r="E26" s="5" t="s">
        <v>502</v>
      </c>
      <c r="F26" s="18" t="n">
        <v>3</v>
      </c>
      <c r="G26" s="18" t="n">
        <v>0</v>
      </c>
      <c r="H26" s="18" t="n">
        <v>2</v>
      </c>
      <c r="I26" s="5" t="s">
        <v>503</v>
      </c>
      <c r="J26" s="6" t="n">
        <v>2</v>
      </c>
      <c r="K26" s="19" t="n">
        <v>1</v>
      </c>
      <c r="L26" s="6" t="n">
        <f aca="false">K26*1</f>
        <v>1</v>
      </c>
      <c r="M26" s="13" t="s">
        <v>504</v>
      </c>
    </row>
    <row r="27" customFormat="false" ht="15" hidden="false" customHeight="false" outlineLevel="0" collapsed="false">
      <c r="A27" s="7" t="s">
        <v>544</v>
      </c>
      <c r="F27" s="19" t="n">
        <f aca="false">SUM(F6:F26)</f>
        <v>298</v>
      </c>
      <c r="G27" s="19" t="n">
        <f aca="false">SUM(G6:G26)</f>
        <v>44</v>
      </c>
      <c r="H27" s="19" t="n">
        <f aca="false">SUM(H6:H26)</f>
        <v>32</v>
      </c>
      <c r="J27" s="8" t="n">
        <f aca="false">SUM(J6:J26)</f>
        <v>108.29</v>
      </c>
      <c r="K27" s="19" t="n">
        <f aca="false">SUM(K6:K26)</f>
        <v>27</v>
      </c>
      <c r="L27" s="8" t="n">
        <f aca="false">SUM(L6:L26)</f>
        <v>106.29</v>
      </c>
    </row>
    <row r="28" customFormat="false" ht="32.8" hidden="false" customHeight="false" outlineLevel="0" collapsed="false">
      <c r="A28" s="20" t="s">
        <v>545</v>
      </c>
    </row>
    <row r="30" customFormat="false" ht="15" hidden="false" customHeight="false" outlineLevel="0" collapsed="false">
      <c r="A30" s="4" t="s">
        <v>26</v>
      </c>
      <c r="B30" s="4"/>
      <c r="C30" s="4"/>
      <c r="D30" s="4"/>
      <c r="E30" s="4"/>
      <c r="F30" s="4"/>
      <c r="G30" s="4"/>
      <c r="H30" s="4"/>
      <c r="I30" s="4"/>
      <c r="J30" s="4"/>
      <c r="K30" s="4"/>
      <c r="L30" s="4"/>
      <c r="M30" s="4"/>
    </row>
    <row r="31" customFormat="false" ht="23.85" hidden="false" customHeight="false" outlineLevel="0" collapsed="false">
      <c r="A31" s="5" t="s">
        <v>546</v>
      </c>
      <c r="B31" s="5" t="s">
        <v>547</v>
      </c>
      <c r="C31" s="5" t="s">
        <v>548</v>
      </c>
      <c r="D31" s="18" t="n">
        <v>52</v>
      </c>
      <c r="E31" s="5" t="s">
        <v>549</v>
      </c>
      <c r="I31" s="5" t="s">
        <v>550</v>
      </c>
      <c r="J31" s="6" t="n">
        <v>7.36</v>
      </c>
      <c r="L31" s="6" t="n">
        <f aca="false">J31</f>
        <v>7.36</v>
      </c>
    </row>
    <row r="32" customFormat="false" ht="23.85" hidden="false" customHeight="false" outlineLevel="0" collapsed="false">
      <c r="A32" s="5" t="s">
        <v>475</v>
      </c>
      <c r="B32" s="5" t="s">
        <v>551</v>
      </c>
      <c r="C32" s="5" t="s">
        <v>552</v>
      </c>
      <c r="D32" s="18" t="n">
        <v>2</v>
      </c>
      <c r="E32" s="5" t="s">
        <v>553</v>
      </c>
      <c r="I32" s="5" t="s">
        <v>554</v>
      </c>
      <c r="J32" s="6" t="n">
        <v>0.49</v>
      </c>
      <c r="L32" s="6" t="n">
        <f aca="false">J32</f>
        <v>0.49</v>
      </c>
    </row>
    <row r="33" customFormat="false" ht="15" hidden="false" customHeight="false" outlineLevel="0" collapsed="false">
      <c r="A33" s="5" t="s">
        <v>479</v>
      </c>
      <c r="B33" s="5" t="s">
        <v>555</v>
      </c>
      <c r="C33" s="5" t="s">
        <v>556</v>
      </c>
      <c r="D33" s="18" t="n">
        <v>11</v>
      </c>
      <c r="E33" s="5" t="s">
        <v>557</v>
      </c>
      <c r="I33" s="5" t="s">
        <v>558</v>
      </c>
      <c r="J33" s="6" t="n">
        <v>3.07</v>
      </c>
      <c r="L33" s="6" t="n">
        <f aca="false">J33</f>
        <v>3.07</v>
      </c>
    </row>
    <row r="34" customFormat="false" ht="23.85" hidden="false" customHeight="false" outlineLevel="0" collapsed="false">
      <c r="A34" s="5" t="s">
        <v>559</v>
      </c>
      <c r="B34" s="5" t="s">
        <v>560</v>
      </c>
      <c r="C34" s="5" t="s">
        <v>561</v>
      </c>
      <c r="D34" s="18" t="n">
        <v>13</v>
      </c>
      <c r="E34" s="5" t="s">
        <v>562</v>
      </c>
      <c r="I34" s="5" t="s">
        <v>563</v>
      </c>
      <c r="J34" s="6" t="n">
        <v>0.66</v>
      </c>
      <c r="L34" s="6" t="n">
        <f aca="false">J34</f>
        <v>0.66</v>
      </c>
    </row>
    <row r="35" customFormat="false" ht="15" hidden="false" customHeight="false" outlineLevel="0" collapsed="false">
      <c r="A35" s="5" t="s">
        <v>564</v>
      </c>
      <c r="B35" s="5" t="s">
        <v>565</v>
      </c>
      <c r="C35" s="5" t="s">
        <v>566</v>
      </c>
      <c r="D35" s="18" t="n">
        <v>1</v>
      </c>
      <c r="E35" s="5" t="s">
        <v>567</v>
      </c>
      <c r="I35" s="5" t="s">
        <v>568</v>
      </c>
      <c r="J35" s="6" t="n">
        <v>0.25</v>
      </c>
      <c r="L35" s="6" t="n">
        <f aca="false">J35</f>
        <v>0.25</v>
      </c>
    </row>
    <row r="36" customFormat="false" ht="23.85" hidden="false" customHeight="false" outlineLevel="0" collapsed="false">
      <c r="A36" s="5" t="s">
        <v>569</v>
      </c>
      <c r="B36" s="5" t="s">
        <v>570</v>
      </c>
      <c r="C36" s="5" t="s">
        <v>571</v>
      </c>
      <c r="D36" s="18" t="n">
        <v>29</v>
      </c>
      <c r="E36" s="5" t="s">
        <v>572</v>
      </c>
      <c r="I36" s="5" t="s">
        <v>573</v>
      </c>
      <c r="J36" s="6" t="n">
        <v>17.71</v>
      </c>
      <c r="L36" s="6" t="n">
        <f aca="false">J36</f>
        <v>17.71</v>
      </c>
    </row>
    <row r="37" customFormat="false" ht="23.85" hidden="false" customHeight="false" outlineLevel="0" collapsed="false">
      <c r="A37" s="5" t="s">
        <v>574</v>
      </c>
      <c r="B37" s="5" t="s">
        <v>575</v>
      </c>
      <c r="C37" s="5" t="s">
        <v>576</v>
      </c>
      <c r="D37" s="18" t="n">
        <v>29</v>
      </c>
      <c r="E37" s="5" t="s">
        <v>577</v>
      </c>
      <c r="I37" s="5" t="s">
        <v>578</v>
      </c>
      <c r="J37" s="6" t="n">
        <v>17.71</v>
      </c>
      <c r="L37" s="6" t="n">
        <f aca="false">J37</f>
        <v>17.71</v>
      </c>
    </row>
    <row r="38" customFormat="false" ht="15" hidden="false" customHeight="false" outlineLevel="0" collapsed="false">
      <c r="A38" s="7" t="s">
        <v>579</v>
      </c>
      <c r="J38" s="8" t="n">
        <f aca="false">SUM(J31:J37)</f>
        <v>47.25</v>
      </c>
      <c r="L38" s="8" t="n">
        <f aca="false">SUM(L31:L37)</f>
        <v>47.25</v>
      </c>
    </row>
    <row r="39" customFormat="false" ht="32.8" hidden="false" customHeight="false" outlineLevel="0" collapsed="false">
      <c r="A39" s="20" t="s">
        <v>580</v>
      </c>
    </row>
    <row r="41" customFormat="false" ht="15" hidden="false" customHeight="false" outlineLevel="0" collapsed="false">
      <c r="A41" s="4" t="s">
        <v>40</v>
      </c>
      <c r="B41" s="4"/>
      <c r="C41" s="4"/>
      <c r="D41" s="4"/>
      <c r="E41" s="4"/>
      <c r="F41" s="4"/>
      <c r="G41" s="4"/>
      <c r="H41" s="4"/>
      <c r="I41" s="4"/>
      <c r="J41" s="4"/>
      <c r="K41" s="4"/>
      <c r="L41" s="4"/>
      <c r="M41" s="4"/>
    </row>
    <row r="42" customFormat="false" ht="23.85" hidden="false" customHeight="false" outlineLevel="0" collapsed="false">
      <c r="A42" s="5" t="s">
        <v>581</v>
      </c>
      <c r="B42" s="5" t="s">
        <v>582</v>
      </c>
      <c r="C42" s="5" t="s">
        <v>583</v>
      </c>
      <c r="D42" s="18" t="n">
        <v>238</v>
      </c>
      <c r="E42" s="5" t="s">
        <v>584</v>
      </c>
      <c r="F42" s="18" t="n">
        <v>25</v>
      </c>
      <c r="I42" s="5" t="s">
        <v>585</v>
      </c>
      <c r="J42" s="6" t="n">
        <v>60</v>
      </c>
      <c r="L42" s="6" t="n">
        <f aca="false">J42</f>
        <v>60</v>
      </c>
      <c r="M42" s="13"/>
    </row>
    <row r="43" customFormat="false" ht="15" hidden="false" customHeight="false" outlineLevel="0" collapsed="false">
      <c r="A43" s="5" t="s">
        <v>586</v>
      </c>
      <c r="B43" s="5" t="s">
        <v>587</v>
      </c>
      <c r="C43" s="5" t="s">
        <v>586</v>
      </c>
      <c r="D43" s="18" t="n">
        <v>271</v>
      </c>
      <c r="E43" s="5" t="s">
        <v>588</v>
      </c>
      <c r="F43" s="18" t="n">
        <v>10</v>
      </c>
      <c r="I43" s="5" t="s">
        <v>585</v>
      </c>
      <c r="J43" s="6" t="n">
        <v>24</v>
      </c>
      <c r="L43" s="6" t="n">
        <f aca="false">J43</f>
        <v>24</v>
      </c>
      <c r="M43" s="13"/>
    </row>
    <row r="44" customFormat="false" ht="15" hidden="false" customHeight="false" outlineLevel="0" collapsed="false">
      <c r="A44" s="5" t="s">
        <v>589</v>
      </c>
      <c r="B44" s="5" t="s">
        <v>590</v>
      </c>
      <c r="C44" s="5" t="s">
        <v>589</v>
      </c>
      <c r="D44" s="18" t="n">
        <v>271</v>
      </c>
      <c r="E44" s="5" t="s">
        <v>588</v>
      </c>
      <c r="F44" s="18" t="n">
        <v>10</v>
      </c>
      <c r="I44" s="5" t="s">
        <v>585</v>
      </c>
      <c r="J44" s="6" t="n">
        <v>24</v>
      </c>
      <c r="L44" s="6" t="n">
        <f aca="false">J44</f>
        <v>24</v>
      </c>
      <c r="M44" s="13"/>
    </row>
    <row r="45" customFormat="false" ht="15" hidden="false" customHeight="false" outlineLevel="0" collapsed="false">
      <c r="A45" s="7" t="s">
        <v>591</v>
      </c>
      <c r="J45" s="8" t="n">
        <f aca="false">SUM(J42:J44)</f>
        <v>108</v>
      </c>
      <c r="L45" s="8" t="n">
        <f aca="false">SUM(L42:L44)</f>
        <v>108</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34"/>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7" min="7" style="0" width="70"/>
    <col collapsed="false" customWidth="true" hidden="false" outlineLevel="0" max="8" min="8" style="0" width="22"/>
    <col collapsed="false" customWidth="true" hidden="false" outlineLevel="0" max="9" min="9" style="0" width="13"/>
    <col collapsed="false" customWidth="true" hidden="false" outlineLevel="0" max="10" min="10" style="0" width="40"/>
  </cols>
  <sheetData>
    <row r="1" customFormat="false" ht="16.15" hidden="false" customHeight="false" outlineLevel="0" collapsed="false">
      <c r="A1" s="1" t="s">
        <v>592</v>
      </c>
    </row>
    <row r="3" customFormat="false" ht="15" hidden="false" customHeight="false" outlineLevel="0" collapsed="false">
      <c r="A3" s="7" t="s">
        <v>593</v>
      </c>
    </row>
    <row r="4" customFormat="false" ht="15" hidden="false" customHeight="false" outlineLevel="0" collapsed="false">
      <c r="A4" s="3" t="s">
        <v>594</v>
      </c>
      <c r="B4" s="3" t="s">
        <v>595</v>
      </c>
      <c r="C4" s="3" t="s">
        <v>596</v>
      </c>
      <c r="D4" s="3" t="s">
        <v>597</v>
      </c>
      <c r="E4" s="3" t="s">
        <v>598</v>
      </c>
      <c r="F4" s="3" t="s">
        <v>599</v>
      </c>
      <c r="G4" s="3" t="s">
        <v>600</v>
      </c>
      <c r="H4" s="3" t="s">
        <v>84</v>
      </c>
    </row>
    <row r="5" customFormat="false" ht="23.85" hidden="false" customHeight="false" outlineLevel="0" collapsed="false">
      <c r="A5" s="5" t="s">
        <v>601</v>
      </c>
      <c r="B5" s="5" t="n">
        <v>1200</v>
      </c>
      <c r="C5" s="5" t="n">
        <v>600</v>
      </c>
      <c r="D5" s="5" t="n">
        <v>2000</v>
      </c>
      <c r="E5" s="5" t="s">
        <v>602</v>
      </c>
      <c r="F5" s="5" t="s">
        <v>603</v>
      </c>
      <c r="G5" s="5" t="s">
        <v>604</v>
      </c>
      <c r="H5" s="5" t="s">
        <v>605</v>
      </c>
    </row>
    <row r="6" customFormat="false" ht="23.85" hidden="false" customHeight="false" outlineLevel="0" collapsed="false">
      <c r="A6" s="5" t="s">
        <v>606</v>
      </c>
      <c r="B6" s="5" t="n">
        <v>1200</v>
      </c>
      <c r="C6" s="5" t="n">
        <v>600</v>
      </c>
      <c r="D6" s="5" t="n">
        <v>40</v>
      </c>
      <c r="E6" s="5" t="s">
        <v>318</v>
      </c>
      <c r="F6" s="5" t="s">
        <v>607</v>
      </c>
      <c r="G6" s="5" t="s">
        <v>608</v>
      </c>
      <c r="H6" s="5" t="s">
        <v>609</v>
      </c>
    </row>
    <row r="7" customFormat="false" ht="23.85" hidden="false" customHeight="false" outlineLevel="0" collapsed="false">
      <c r="A7" s="5" t="s">
        <v>610</v>
      </c>
      <c r="B7" s="5" t="n">
        <v>600</v>
      </c>
      <c r="C7" s="5" t="n">
        <v>400</v>
      </c>
      <c r="D7" s="5" t="n">
        <v>300</v>
      </c>
      <c r="E7" s="5" t="s">
        <v>318</v>
      </c>
      <c r="F7" s="5" t="s">
        <v>611</v>
      </c>
      <c r="G7" s="5" t="s">
        <v>612</v>
      </c>
      <c r="H7" s="5" t="s">
        <v>613</v>
      </c>
    </row>
    <row r="8" customFormat="false" ht="23.85" hidden="false" customHeight="false" outlineLevel="0" collapsed="false">
      <c r="A8" s="5" t="s">
        <v>614</v>
      </c>
      <c r="B8" s="5" t="n">
        <v>1300</v>
      </c>
      <c r="C8" s="5" t="n">
        <v>700</v>
      </c>
      <c r="D8" s="13" t="s">
        <v>102</v>
      </c>
      <c r="E8" s="5" t="s">
        <v>615</v>
      </c>
      <c r="F8" s="5" t="s">
        <v>616</v>
      </c>
      <c r="G8" s="5" t="s">
        <v>617</v>
      </c>
      <c r="H8" s="5" t="s">
        <v>618</v>
      </c>
    </row>
    <row r="9" customFormat="false" ht="23.85" hidden="false" customHeight="false" outlineLevel="0" collapsed="false">
      <c r="A9" s="5" t="s">
        <v>619</v>
      </c>
      <c r="B9" s="5" t="n">
        <v>1300</v>
      </c>
      <c r="C9" s="5" t="n">
        <v>700</v>
      </c>
      <c r="D9" s="13" t="s">
        <v>102</v>
      </c>
      <c r="E9" s="5" t="s">
        <v>620</v>
      </c>
      <c r="F9" s="5" t="s">
        <v>621</v>
      </c>
      <c r="G9" s="5" t="s">
        <v>622</v>
      </c>
      <c r="H9" s="5" t="s">
        <v>623</v>
      </c>
    </row>
    <row r="10" customFormat="false" ht="23.85" hidden="false" customHeight="false" outlineLevel="0" collapsed="false">
      <c r="A10" s="5" t="s">
        <v>624</v>
      </c>
      <c r="B10" s="5" t="n">
        <v>1200</v>
      </c>
      <c r="C10" s="5" t="n">
        <v>600</v>
      </c>
      <c r="D10" s="13" t="s">
        <v>102</v>
      </c>
      <c r="E10" s="5" t="s">
        <v>625</v>
      </c>
      <c r="F10" s="5" t="s">
        <v>626</v>
      </c>
      <c r="G10" s="5" t="s">
        <v>627</v>
      </c>
      <c r="H10" s="5" t="s">
        <v>628</v>
      </c>
    </row>
    <row r="11" customFormat="false" ht="23.85" hidden="false" customHeight="false" outlineLevel="0" collapsed="false">
      <c r="A11" s="5" t="s">
        <v>629</v>
      </c>
      <c r="B11" s="5" t="n">
        <v>2700</v>
      </c>
      <c r="C11" s="5" t="n">
        <v>1200</v>
      </c>
      <c r="D11" s="13" t="s">
        <v>102</v>
      </c>
      <c r="E11" s="5" t="s">
        <v>615</v>
      </c>
      <c r="F11" s="5" t="s">
        <v>630</v>
      </c>
      <c r="G11" s="5" t="s">
        <v>631</v>
      </c>
      <c r="H11" s="5" t="s">
        <v>632</v>
      </c>
    </row>
    <row r="12" customFormat="false" ht="23.85" hidden="false" customHeight="false" outlineLevel="0" collapsed="false">
      <c r="A12" s="5" t="s">
        <v>633</v>
      </c>
      <c r="B12" s="5" t="n">
        <v>1200</v>
      </c>
      <c r="C12" s="5" t="n">
        <v>800</v>
      </c>
      <c r="D12" s="5" t="n">
        <v>1045</v>
      </c>
      <c r="E12" s="5" t="s">
        <v>634</v>
      </c>
      <c r="F12" s="5" t="s">
        <v>621</v>
      </c>
      <c r="G12" s="5" t="s">
        <v>635</v>
      </c>
      <c r="H12" s="5" t="s">
        <v>636</v>
      </c>
    </row>
    <row r="13" customFormat="false" ht="35.05" hidden="false" customHeight="false" outlineLevel="0" collapsed="false">
      <c r="A13" s="5" t="s">
        <v>637</v>
      </c>
      <c r="B13" s="5" t="n">
        <v>1200</v>
      </c>
      <c r="C13" s="5" t="n">
        <v>1000</v>
      </c>
      <c r="D13" s="13" t="s">
        <v>102</v>
      </c>
      <c r="E13" s="5" t="s">
        <v>638</v>
      </c>
      <c r="F13" s="5" t="s">
        <v>639</v>
      </c>
      <c r="G13" s="5" t="s">
        <v>640</v>
      </c>
      <c r="H13" s="5" t="s">
        <v>641</v>
      </c>
    </row>
    <row r="15" customFormat="false" ht="15" hidden="false" customHeight="false" outlineLevel="0" collapsed="false">
      <c r="A15" s="7" t="s">
        <v>642</v>
      </c>
    </row>
    <row r="16" customFormat="false" ht="23.85" hidden="false" customHeight="false" outlineLevel="0" collapsed="false">
      <c r="A16" s="3" t="s">
        <v>643</v>
      </c>
      <c r="B16" s="3" t="s">
        <v>644</v>
      </c>
      <c r="C16" s="3" t="s">
        <v>645</v>
      </c>
      <c r="D16" s="3" t="s">
        <v>646</v>
      </c>
      <c r="E16" s="3" t="s">
        <v>647</v>
      </c>
      <c r="F16" s="3" t="s">
        <v>648</v>
      </c>
      <c r="G16" s="3" t="s">
        <v>649</v>
      </c>
      <c r="H16" s="3" t="s">
        <v>650</v>
      </c>
      <c r="I16" s="3" t="s">
        <v>651</v>
      </c>
      <c r="J16" s="3" t="s">
        <v>85</v>
      </c>
    </row>
    <row r="17" customFormat="false" ht="15" hidden="false" customHeight="false" outlineLevel="0" collapsed="false">
      <c r="A17" s="7" t="s">
        <v>652</v>
      </c>
      <c r="B17" s="5" t="s">
        <v>653</v>
      </c>
      <c r="C17" s="5" t="s">
        <v>654</v>
      </c>
      <c r="D17" s="18" t="n">
        <v>254</v>
      </c>
      <c r="E17" s="21" t="n">
        <v>149.9</v>
      </c>
      <c r="F17" s="18" t="n">
        <v>229</v>
      </c>
      <c r="G17" s="5" t="s">
        <v>655</v>
      </c>
      <c r="H17" s="18" t="n">
        <v>1270</v>
      </c>
      <c r="I17" s="18" t="n">
        <v>762</v>
      </c>
    </row>
    <row r="18" customFormat="false" ht="15" hidden="false" customHeight="false" outlineLevel="0" collapsed="false">
      <c r="A18" s="5"/>
      <c r="B18" s="5" t="s">
        <v>656</v>
      </c>
      <c r="C18" s="5" t="s">
        <v>657</v>
      </c>
      <c r="D18" s="18" t="n">
        <v>147</v>
      </c>
      <c r="E18" s="21" t="n">
        <v>149.9</v>
      </c>
      <c r="F18" s="18" t="n">
        <v>184</v>
      </c>
      <c r="G18" s="5" t="s">
        <v>658</v>
      </c>
      <c r="H18" s="18" t="n">
        <v>735</v>
      </c>
      <c r="I18" s="18" t="n">
        <v>441</v>
      </c>
    </row>
    <row r="19" customFormat="false" ht="15" hidden="false" customHeight="false" outlineLevel="0" collapsed="false">
      <c r="A19" s="5"/>
      <c r="B19" s="5" t="s">
        <v>659</v>
      </c>
      <c r="C19" s="5" t="s">
        <v>660</v>
      </c>
      <c r="D19" s="18" t="n">
        <v>76</v>
      </c>
      <c r="E19" s="21" t="n">
        <v>149.7</v>
      </c>
      <c r="F19" s="18" t="n">
        <v>122</v>
      </c>
      <c r="G19" s="5" t="s">
        <v>661</v>
      </c>
      <c r="H19" s="18" t="n">
        <v>456</v>
      </c>
      <c r="I19" s="18" t="n">
        <v>228</v>
      </c>
    </row>
    <row r="20" customFormat="false" ht="15" hidden="false" customHeight="false" outlineLevel="0" collapsed="false">
      <c r="A20" s="10"/>
      <c r="B20" s="10" t="s">
        <v>662</v>
      </c>
      <c r="C20" s="10" t="s">
        <v>663</v>
      </c>
      <c r="D20" s="22" t="n">
        <v>34</v>
      </c>
      <c r="E20" s="23" t="n">
        <v>148.9</v>
      </c>
      <c r="F20" s="22" t="n">
        <v>68</v>
      </c>
      <c r="G20" s="10" t="s">
        <v>664</v>
      </c>
      <c r="H20" s="22" t="n">
        <v>272</v>
      </c>
      <c r="I20" s="22" t="n">
        <v>102</v>
      </c>
    </row>
    <row r="21" customFormat="false" ht="15" hidden="false" customHeight="false" outlineLevel="0" collapsed="false">
      <c r="A21" s="7" t="s">
        <v>665</v>
      </c>
      <c r="B21" s="5" t="s">
        <v>653</v>
      </c>
      <c r="C21" s="5" t="s">
        <v>666</v>
      </c>
      <c r="D21" s="18" t="n">
        <v>105</v>
      </c>
      <c r="E21" s="21" t="n">
        <v>62</v>
      </c>
      <c r="F21" s="18" t="n">
        <v>297.5</v>
      </c>
      <c r="G21" s="5" t="s">
        <v>667</v>
      </c>
      <c r="H21" s="18" t="n">
        <v>420</v>
      </c>
      <c r="I21" s="18" t="n">
        <v>315</v>
      </c>
    </row>
    <row r="22" customFormat="false" ht="15" hidden="false" customHeight="false" outlineLevel="0" collapsed="false">
      <c r="A22" s="5"/>
      <c r="B22" s="5" t="s">
        <v>656</v>
      </c>
      <c r="C22" s="5" t="s">
        <v>668</v>
      </c>
      <c r="D22" s="18" t="n">
        <v>36</v>
      </c>
      <c r="E22" s="21" t="n">
        <v>36.7</v>
      </c>
      <c r="F22" s="18" t="n">
        <v>333</v>
      </c>
      <c r="G22" s="5" t="s">
        <v>669</v>
      </c>
      <c r="H22" s="18" t="n">
        <v>144</v>
      </c>
      <c r="I22" s="18" t="n">
        <v>108</v>
      </c>
    </row>
    <row r="23" customFormat="false" ht="15" hidden="false" customHeight="false" outlineLevel="0" collapsed="false">
      <c r="A23" s="5"/>
      <c r="B23" s="5" t="s">
        <v>659</v>
      </c>
      <c r="C23" s="5" t="s">
        <v>670</v>
      </c>
      <c r="D23" s="18" t="n">
        <v>21</v>
      </c>
      <c r="E23" s="21" t="n">
        <v>41.4</v>
      </c>
      <c r="F23" s="18" t="n">
        <v>414</v>
      </c>
      <c r="G23" s="5" t="s">
        <v>671</v>
      </c>
      <c r="H23" s="18" t="n">
        <v>63</v>
      </c>
      <c r="I23" s="18" t="n">
        <v>63</v>
      </c>
    </row>
    <row r="24" customFormat="false" ht="15" hidden="false" customHeight="false" outlineLevel="0" collapsed="false">
      <c r="A24" s="10"/>
      <c r="B24" s="10" t="s">
        <v>662</v>
      </c>
      <c r="C24" s="10" t="s">
        <v>672</v>
      </c>
      <c r="D24" s="22" t="n">
        <v>18</v>
      </c>
      <c r="E24" s="23" t="n">
        <v>78.8</v>
      </c>
      <c r="F24" s="22" t="n">
        <v>582</v>
      </c>
      <c r="G24" s="10" t="s">
        <v>673</v>
      </c>
      <c r="H24" s="22" t="n">
        <v>54</v>
      </c>
      <c r="I24" s="22" t="n">
        <v>54</v>
      </c>
    </row>
    <row r="25" customFormat="false" ht="15" hidden="false" customHeight="false" outlineLevel="0" collapsed="false">
      <c r="A25" s="7" t="s">
        <v>674</v>
      </c>
      <c r="B25" s="5" t="s">
        <v>653</v>
      </c>
      <c r="C25" s="5" t="s">
        <v>666</v>
      </c>
      <c r="D25" s="18" t="n">
        <v>105</v>
      </c>
      <c r="E25" s="21" t="n">
        <v>74.5</v>
      </c>
      <c r="F25" s="18" t="n">
        <v>297.5</v>
      </c>
      <c r="G25" s="5" t="s">
        <v>667</v>
      </c>
      <c r="H25" s="18" t="n">
        <v>420</v>
      </c>
      <c r="I25" s="18" t="n">
        <v>315</v>
      </c>
    </row>
    <row r="26" customFormat="false" ht="15" hidden="false" customHeight="false" outlineLevel="0" collapsed="false">
      <c r="A26" s="5"/>
      <c r="B26" s="5" t="s">
        <v>656</v>
      </c>
      <c r="C26" s="5" t="s">
        <v>668</v>
      </c>
      <c r="D26" s="18" t="n">
        <v>36</v>
      </c>
      <c r="E26" s="21" t="n">
        <v>48.6</v>
      </c>
      <c r="F26" s="18" t="n">
        <v>333</v>
      </c>
      <c r="G26" s="5" t="s">
        <v>669</v>
      </c>
      <c r="H26" s="18" t="n">
        <v>144</v>
      </c>
      <c r="I26" s="18" t="n">
        <v>108</v>
      </c>
    </row>
    <row r="27" customFormat="false" ht="15" hidden="false" customHeight="false" outlineLevel="0" collapsed="false">
      <c r="A27" s="5"/>
      <c r="B27" s="5" t="s">
        <v>659</v>
      </c>
      <c r="C27" s="5" t="s">
        <v>670</v>
      </c>
      <c r="D27" s="18" t="n">
        <v>21</v>
      </c>
      <c r="E27" s="21" t="n">
        <v>54.6</v>
      </c>
      <c r="F27" s="18" t="n">
        <v>414</v>
      </c>
      <c r="G27" s="5" t="s">
        <v>671</v>
      </c>
      <c r="H27" s="18" t="n">
        <v>63</v>
      </c>
      <c r="I27" s="18" t="n">
        <v>63</v>
      </c>
    </row>
    <row r="28" customFormat="false" ht="15" hidden="false" customHeight="false" outlineLevel="0" collapsed="false">
      <c r="A28" s="10"/>
      <c r="B28" s="10" t="s">
        <v>662</v>
      </c>
      <c r="C28" s="10" t="s">
        <v>672</v>
      </c>
      <c r="D28" s="22" t="n">
        <v>18</v>
      </c>
      <c r="E28" s="23" t="n">
        <v>98.6</v>
      </c>
      <c r="F28" s="22" t="n">
        <v>582</v>
      </c>
      <c r="G28" s="10" t="s">
        <v>673</v>
      </c>
      <c r="H28" s="22" t="n">
        <v>54</v>
      </c>
      <c r="I28" s="22" t="n">
        <v>54</v>
      </c>
    </row>
    <row r="29" customFormat="false" ht="15" hidden="false" customHeight="false" outlineLevel="0" collapsed="false">
      <c r="A29" s="7" t="s">
        <v>675</v>
      </c>
      <c r="B29" s="5" t="s">
        <v>653</v>
      </c>
      <c r="C29" s="5" t="s">
        <v>676</v>
      </c>
      <c r="D29" s="18" t="n">
        <v>72</v>
      </c>
      <c r="E29" s="21" t="n">
        <v>149.8</v>
      </c>
      <c r="F29" s="18" t="n">
        <v>390</v>
      </c>
      <c r="G29" s="5" t="s">
        <v>677</v>
      </c>
      <c r="H29" s="18" t="n">
        <v>216</v>
      </c>
      <c r="I29" s="18" t="n">
        <v>216</v>
      </c>
    </row>
    <row r="30" customFormat="false" ht="15" hidden="false" customHeight="false" outlineLevel="0" collapsed="false">
      <c r="A30" s="5"/>
      <c r="B30" s="5" t="s">
        <v>656</v>
      </c>
      <c r="C30" s="5" t="s">
        <v>678</v>
      </c>
      <c r="D30" s="18" t="n">
        <v>34</v>
      </c>
      <c r="E30" s="21" t="n">
        <v>146.2</v>
      </c>
      <c r="F30" s="18" t="n">
        <v>415</v>
      </c>
      <c r="G30" s="5" t="s">
        <v>679</v>
      </c>
      <c r="H30" s="18" t="n">
        <v>102</v>
      </c>
      <c r="I30" s="18" t="n">
        <v>102</v>
      </c>
    </row>
    <row r="31" customFormat="false" ht="15" hidden="false" customHeight="false" outlineLevel="0" collapsed="false">
      <c r="A31" s="5"/>
      <c r="B31" s="5" t="s">
        <v>659</v>
      </c>
      <c r="C31" s="5" t="s">
        <v>680</v>
      </c>
      <c r="D31" s="18" t="n">
        <v>18</v>
      </c>
      <c r="E31" s="21" t="n">
        <v>145.8</v>
      </c>
      <c r="F31" s="18" t="n">
        <v>495</v>
      </c>
      <c r="G31" s="5" t="s">
        <v>681</v>
      </c>
      <c r="H31" s="18" t="n">
        <v>54</v>
      </c>
      <c r="I31" s="18" t="n">
        <v>54</v>
      </c>
    </row>
    <row r="32" customFormat="false" ht="23.85" hidden="false" customHeight="false" outlineLevel="0" collapsed="false">
      <c r="A32" s="10"/>
      <c r="B32" s="10" t="s">
        <v>662</v>
      </c>
      <c r="C32" s="10" t="s">
        <v>682</v>
      </c>
      <c r="D32" s="22" t="n">
        <v>9</v>
      </c>
      <c r="E32" s="23" t="n">
        <v>143.5</v>
      </c>
      <c r="F32" s="22" t="n">
        <v>665</v>
      </c>
      <c r="G32" s="10" t="s">
        <v>683</v>
      </c>
      <c r="H32" s="22" t="n">
        <v>18</v>
      </c>
      <c r="I32" s="22" t="n">
        <v>27</v>
      </c>
      <c r="J32" s="13" t="s">
        <v>684</v>
      </c>
    </row>
    <row r="33" customFormat="false" ht="15" hidden="false" customHeight="false" outlineLevel="0" collapsed="false">
      <c r="A33" s="7" t="s">
        <v>685</v>
      </c>
      <c r="B33" s="5" t="s">
        <v>653</v>
      </c>
      <c r="C33" s="5" t="s">
        <v>686</v>
      </c>
      <c r="D33" s="18" t="n">
        <v>288</v>
      </c>
      <c r="E33" s="21" t="n">
        <v>17.4</v>
      </c>
      <c r="F33" s="18" t="n">
        <v>300</v>
      </c>
      <c r="G33" s="5" t="s">
        <v>687</v>
      </c>
      <c r="H33" s="18" t="n">
        <v>3456</v>
      </c>
      <c r="I33" s="18" t="n">
        <v>3456</v>
      </c>
    </row>
    <row r="34" customFormat="false" ht="15" hidden="false" customHeight="false" outlineLevel="0" collapsed="false">
      <c r="A34" s="5"/>
      <c r="B34" s="5" t="s">
        <v>656</v>
      </c>
      <c r="C34" s="5" t="s">
        <v>688</v>
      </c>
      <c r="D34" s="18" t="n">
        <v>88</v>
      </c>
      <c r="E34" s="21" t="n">
        <v>19.7</v>
      </c>
      <c r="F34" s="18" t="n">
        <v>300</v>
      </c>
      <c r="G34" s="5" t="s">
        <v>687</v>
      </c>
      <c r="H34" s="18" t="n">
        <v>1056</v>
      </c>
      <c r="I34" s="18" t="n">
        <v>1056</v>
      </c>
    </row>
    <row r="35" customFormat="false" ht="15" hidden="false" customHeight="false" outlineLevel="0" collapsed="false">
      <c r="A35" s="5"/>
      <c r="B35" s="5" t="s">
        <v>659</v>
      </c>
      <c r="C35" s="5" t="s">
        <v>689</v>
      </c>
      <c r="D35" s="18" t="n">
        <v>48</v>
      </c>
      <c r="E35" s="21" t="n">
        <v>19.3</v>
      </c>
      <c r="F35" s="18" t="n">
        <v>300</v>
      </c>
      <c r="G35" s="5" t="s">
        <v>687</v>
      </c>
      <c r="H35" s="18" t="n">
        <v>576</v>
      </c>
      <c r="I35" s="18" t="n">
        <v>576</v>
      </c>
    </row>
    <row r="36" customFormat="false" ht="15" hidden="false" customHeight="false" outlineLevel="0" collapsed="false">
      <c r="A36" s="10"/>
      <c r="B36" s="10" t="s">
        <v>662</v>
      </c>
      <c r="C36" s="10" t="s">
        <v>690</v>
      </c>
      <c r="D36" s="22" t="n">
        <v>27</v>
      </c>
      <c r="E36" s="23" t="n">
        <v>18.4</v>
      </c>
      <c r="F36" s="22" t="n">
        <v>300</v>
      </c>
      <c r="G36" s="10" t="s">
        <v>687</v>
      </c>
      <c r="H36" s="22" t="n">
        <v>324</v>
      </c>
      <c r="I36" s="22" t="n">
        <v>324</v>
      </c>
    </row>
    <row r="37" customFormat="false" ht="15" hidden="false" customHeight="false" outlineLevel="0" collapsed="false">
      <c r="A37" s="7" t="s">
        <v>691</v>
      </c>
      <c r="B37" s="5" t="s">
        <v>653</v>
      </c>
      <c r="C37" s="5" t="s">
        <v>686</v>
      </c>
      <c r="D37" s="18" t="n">
        <v>288</v>
      </c>
      <c r="E37" s="21" t="n">
        <v>14.5</v>
      </c>
      <c r="F37" s="18" t="n">
        <v>300</v>
      </c>
      <c r="G37" s="5" t="s">
        <v>687</v>
      </c>
      <c r="H37" s="18" t="n">
        <v>3456</v>
      </c>
      <c r="I37" s="18" t="n">
        <v>3456</v>
      </c>
    </row>
    <row r="38" customFormat="false" ht="15" hidden="false" customHeight="false" outlineLevel="0" collapsed="false">
      <c r="A38" s="5"/>
      <c r="B38" s="5" t="s">
        <v>656</v>
      </c>
      <c r="C38" s="5" t="s">
        <v>692</v>
      </c>
      <c r="D38" s="18" t="n">
        <v>80</v>
      </c>
      <c r="E38" s="21" t="n">
        <v>19.8</v>
      </c>
      <c r="F38" s="18" t="n">
        <v>300</v>
      </c>
      <c r="G38" s="5" t="s">
        <v>687</v>
      </c>
      <c r="H38" s="18" t="n">
        <v>960</v>
      </c>
      <c r="I38" s="18" t="n">
        <v>960</v>
      </c>
    </row>
    <row r="39" customFormat="false" ht="15" hidden="false" customHeight="false" outlineLevel="0" collapsed="false">
      <c r="A39" s="5"/>
      <c r="B39" s="5" t="s">
        <v>659</v>
      </c>
      <c r="C39" s="5" t="s">
        <v>693</v>
      </c>
      <c r="D39" s="18" t="n">
        <v>36</v>
      </c>
      <c r="E39" s="21" t="n">
        <v>18.1</v>
      </c>
      <c r="F39" s="18" t="n">
        <v>300</v>
      </c>
      <c r="G39" s="5" t="s">
        <v>687</v>
      </c>
      <c r="H39" s="18" t="n">
        <v>432</v>
      </c>
      <c r="I39" s="18" t="n">
        <v>432</v>
      </c>
    </row>
    <row r="40" customFormat="false" ht="15" hidden="false" customHeight="false" outlineLevel="0" collapsed="false">
      <c r="A40" s="10"/>
      <c r="B40" s="10" t="s">
        <v>662</v>
      </c>
      <c r="C40" s="10" t="s">
        <v>694</v>
      </c>
      <c r="D40" s="22" t="n">
        <v>21</v>
      </c>
      <c r="E40" s="23" t="n">
        <v>17.9</v>
      </c>
      <c r="F40" s="22" t="n">
        <v>300</v>
      </c>
      <c r="G40" s="10" t="s">
        <v>687</v>
      </c>
      <c r="H40" s="22" t="n">
        <v>252</v>
      </c>
      <c r="I40" s="22" t="n">
        <v>252</v>
      </c>
    </row>
    <row r="41" customFormat="false" ht="23.85" hidden="false" customHeight="false" outlineLevel="0" collapsed="false">
      <c r="A41" s="7" t="s">
        <v>695</v>
      </c>
      <c r="B41" s="5" t="s">
        <v>653</v>
      </c>
      <c r="C41" s="5" t="s">
        <v>696</v>
      </c>
      <c r="D41" s="18" t="n">
        <v>100</v>
      </c>
      <c r="E41" s="21" t="n">
        <v>8</v>
      </c>
      <c r="F41" s="18" t="n">
        <v>300</v>
      </c>
      <c r="G41" s="5" t="s">
        <v>687</v>
      </c>
      <c r="H41" s="18" t="n">
        <v>1200</v>
      </c>
      <c r="I41" s="18" t="n">
        <v>1200</v>
      </c>
    </row>
    <row r="42" customFormat="false" ht="23.85" hidden="false" customHeight="false" outlineLevel="0" collapsed="false">
      <c r="A42" s="5"/>
      <c r="B42" s="5" t="s">
        <v>656</v>
      </c>
      <c r="C42" s="5" t="s">
        <v>696</v>
      </c>
      <c r="D42" s="18" t="n">
        <v>40</v>
      </c>
      <c r="E42" s="21" t="n">
        <v>13.5</v>
      </c>
      <c r="F42" s="18" t="n">
        <v>300</v>
      </c>
      <c r="G42" s="5" t="s">
        <v>687</v>
      </c>
      <c r="H42" s="18" t="n">
        <v>480</v>
      </c>
      <c r="I42" s="18" t="n">
        <v>480</v>
      </c>
    </row>
    <row r="43" customFormat="false" ht="23.85" hidden="false" customHeight="false" outlineLevel="0" collapsed="false">
      <c r="A43" s="5"/>
      <c r="B43" s="5" t="s">
        <v>659</v>
      </c>
      <c r="C43" s="5" t="s">
        <v>696</v>
      </c>
      <c r="D43" s="18" t="n">
        <v>30</v>
      </c>
      <c r="E43" s="21" t="n">
        <v>18.8</v>
      </c>
      <c r="F43" s="18" t="n">
        <v>300</v>
      </c>
      <c r="G43" s="5" t="s">
        <v>687</v>
      </c>
      <c r="H43" s="18" t="n">
        <v>360</v>
      </c>
      <c r="I43" s="18" t="n">
        <v>360</v>
      </c>
    </row>
    <row r="44" customFormat="false" ht="23.85" hidden="false" customHeight="false" outlineLevel="0" collapsed="false">
      <c r="A44" s="10"/>
      <c r="B44" s="10" t="s">
        <v>662</v>
      </c>
      <c r="C44" s="10" t="s">
        <v>696</v>
      </c>
      <c r="D44" s="22" t="n">
        <v>19</v>
      </c>
      <c r="E44" s="23" t="n">
        <v>19.9</v>
      </c>
      <c r="F44" s="22" t="n">
        <v>300</v>
      </c>
      <c r="G44" s="10" t="s">
        <v>687</v>
      </c>
      <c r="H44" s="22" t="n">
        <v>228</v>
      </c>
      <c r="I44" s="22" t="n">
        <v>228</v>
      </c>
    </row>
    <row r="46" customFormat="false" ht="32.8" hidden="false" customHeight="false" outlineLevel="0" collapsed="false">
      <c r="A46" s="20" t="s">
        <v>697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2026-10-25T01:27:40Z</dcterms:created>
  <dc:creator>openpyxl</dc:creator>
  <dc:description/>
  <dc:language>en-US</dc:language>
  <cp:lastModifiedBy/>
  <dcterms:modified xsi:type="dcterms:W3CDTF">2026-10-25T01:27:41Z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