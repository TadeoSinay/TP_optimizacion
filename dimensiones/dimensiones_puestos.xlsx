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Resumen" sheetId="2" state="visible" r:id="rId4"/>
    <sheet name="Manuales" sheetId="3" state="visible" r:id="rId5"/>
    <sheet name="Carros" sheetId="4" state="visible" r:id="rId6"/>
    <sheet name="Recargas" sheetId="5" state="visible" r:id="rId7"/>
  </sheets>
  <definedNames>
    <definedName function="false" hidden="true" localSheetId="3" name="_xlnm._FilterDatabase" vbProcedure="false">Carros!$A$4:$T$152</definedName>
    <definedName function="false" hidden="true" localSheetId="2" name="_xlnm._FilterDatabase" vbProcedure="false">Manuales!$A$4:$T$219</definedName>
    <definedName function="false" hidden="true" localSheetId="4" name="_xlnm._FilterDatabase" vbProcedure="false">Recargas!$A$4:$T$178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<sst xmlns="http://schemas.openxmlformats.org/spreadsheetml/2006/main" count="3393" uniqueCount="1435">
  <si>
    <t xml:space="preserve">DIMENSIONES POR PUESTO</t>
  </si>
  <si>
    <t xml:space="preserve">Para qué</t>
  </si>
  <si>
    <t xml:space="preserve">Medidas de cada puesto de Manuales, Carros y Recargas para dibujar el plano. Sin almacenes.</t>
  </si>
  <si>
    <t xml:space="preserve">Cómo leer cada hoja</t>
  </si>
  <si>
    <t xml:space="preserve">Fila gris oscuro = área del plano (envolvente, superficie, cuánto ocupan los equipos y cómo está dispuesta). Fila gris claro = puesto del Balanceo (N°, máquinas y turnos). Filas blancas = cada rectángulo del plano.</t>
  </si>
  <si>
    <t xml:space="preserve">Ancho E-O / Largo N-S</t>
  </si>
  <si>
    <t xml:space="preserve">Medidas del rectángulo tal como está en el plano: ancho = lado este-oeste, largo = lado norte-sur. Si el rectángulo agrupa varias unidades (módulos de estante, carros), las medidas son las del grupo y Cant. dice cuántas hay.</t>
  </si>
  <si>
    <t xml:space="preserve">Huella</t>
  </si>
  <si>
    <t xml:space="preserve">Ancho × Largo (fórmula). Σ huellas del área y % ocupado: lo que no ocupan los equipos es circulación y espacio de uso dentro del área.</t>
  </si>
  <si>
    <t xml:space="preserve">X, Y</t>
  </si>
  <si>
    <t xml:space="preserve">Esquina noroeste del rectángulo, en metros. Origen (0,0) = esquina noroeste de la nave de carros; X crece hacia el este, Y hacia el sur (las áreas al norte de la nave tienen Y negativa). Mismo sistema que layout_rev23.yaml.</t>
  </si>
  <si>
    <t xml:space="preserve">Alto</t>
  </si>
  <si>
    <t xml:space="preserve">Solo donde una fuente lo da: estante de carga media 2,0 m (Pulmones, Parametros B9) y fichas de máquinas citadas en la columna Fuente. El resto está en rojo: no figura en ninguna fuente y hay que pedirlo al proveedor o medirlo.</t>
  </si>
  <si>
    <t xml:space="preserve">Rojo</t>
  </si>
  <si>
    <t xml:space="preserve">Falta el dato en las fuentes, o dos fuentes no coinciden (se dice cuáles).</t>
  </si>
  <si>
    <t xml:space="preserve">Fuentes de verdad</t>
  </si>
  <si>
    <t xml:space="preserve">1) Plano rev23 (layout_rev23.yaml): medidas y posiciones. 2) Balanceo (Word y Excel, carpeta de Fran): puestos, máquinas y turnos. 3) Pulmones (Excel, carpeta de Fran): módulos, m², carros de tránsito y parámetros de estantes, cajones, bandejas y rack. 4) Word de procesos (Manuales, Carros, Recargas): solo la lógica (qué hace cada puesto, en qué orden, con qué equipo).</t>
  </si>
  <si>
    <t xml:space="preserve">Fichas de alto usadas</t>
  </si>
  <si>
    <t xml:space="preserve">Guillotina 2 QC12Y-6X2500: https://www.goldsupplier.com/provide/p106252035.html · Guillotina 1 (ficha de reventa ERMAK HGS 2600 × 6): https://resale.info/en/ermak-hgs-2600-x-6-листові-ножиці/No-164666861 · Prensa de banco MB21: https://www.wagener-gmbh.com/wp-content/uploads/2021/05/Praegegeraete.pdf</t>
  </si>
  <si>
    <t xml:space="preserve">No se incluye</t>
  </si>
  <si>
    <t xml:space="preserve">Almacén y recepción de MP (p01, Balanceo N° 1), almacén de casquetes y accesorios (8.0), polvo químico en big bags (mp_polvo), almacén y andén de PT (p16, p16_pt_carros, anden_pt), depósito transitorio de residuos de recargas, administración y servicios.</t>
  </si>
  <si>
    <t xml:space="preserve">Recargas: jaulas</t>
  </si>
  <si>
    <t xml:space="preserve">La fila gris de cada puesto trae los equipos que esperan en él por la ley de Little y las jaulas y m² que pide el Balanceo (Carga, columnas L a N). Donde el plano no dibuja esa jaula dentro del área, se marca en rojo.</t>
  </si>
  <si>
    <t xml:space="preserve">Compartidos</t>
  </si>
  <si>
    <t xml:space="preserve">Corte (G1 + G2), marcadora 2 y el bloque PH + secado son de Manuales y Carros: las máquinas están en la hoja Manuales y en Carros se repite solo lo que usa esa línea. En el Resumen esas áreas suman una sola vez.</t>
  </si>
  <si>
    <t xml:space="preserve">RESUMEN POR ÁREA</t>
  </si>
  <si>
    <t xml:space="preserve">Línea</t>
  </si>
  <si>
    <t xml:space="preserve">Área (sector del plano)</t>
  </si>
  <si>
    <t xml:space="preserve">Puestos</t>
  </si>
  <si>
    <t xml:space="preserve">Ancho E-O (m)</t>
  </si>
  <si>
    <t xml:space="preserve">Largo N-S (m)</t>
  </si>
  <si>
    <t xml:space="preserve">Superficie (m²)</t>
  </si>
  <si>
    <t xml:space="preserve">Σ huellas (m²)</t>
  </si>
  <si>
    <t xml:space="preserve">% ocupado</t>
  </si>
  <si>
    <t xml:space="preserve">Suma al total (1 = sí; 0 = ya contada en otra hoja)</t>
  </si>
  <si>
    <t xml:space="preserve">Manuales</t>
  </si>
  <si>
    <t xml:space="preserve">p02_corte</t>
  </si>
  <si>
    <t xml:space="preserve">2 + 3. CORTE — 2 guillotinas en L (compartidas con carros, puesto 2)</t>
  </si>
  <si>
    <t xml:space="preserve">m10_embutido</t>
  </si>
  <si>
    <t xml:space="preserve">4. CORTE DE DISCO Y EMBUTIDO + supermercado de fondos y cúpulas</t>
  </si>
  <si>
    <t xml:space="preserve">m06a_prep_cuello</t>
  </si>
  <si>
    <t xml:space="preserve">5. PREPARACIÓN DE CUELLO (muesca ×2)</t>
  </si>
  <si>
    <t xml:space="preserve">m00_marcado_man</t>
  </si>
  <si>
    <t xml:space="preserve">6. MARCADO DEL CUERPO — marcadora 1 (manuales)</t>
  </si>
  <si>
    <t xml:space="preserve">p021_marcado</t>
  </si>
  <si>
    <t xml:space="preserve">6. MARCADO DEL CUERPO — marcadora 2 (carros; dentro del área de carros)</t>
  </si>
  <si>
    <t xml:space="preserve">m06_cuello</t>
  </si>
  <si>
    <t xml:space="preserve">7. SOLDADURA DEL CUELLO A LA CÚPULA (M6b)</t>
  </si>
  <si>
    <t xml:space="preserve">m01_cilindrado_1kg</t>
  </si>
  <si>
    <t xml:space="preserve">8. CILINDRADO 1 – 10 kg (única roladora)</t>
  </si>
  <si>
    <t xml:space="preserve">m03_sold_long</t>
  </si>
  <si>
    <t xml:space="preserve">9. SOLDADURA LONGITUDINAL 2,5–10 kg (M3) — cuello de botella</t>
  </si>
  <si>
    <t xml:space="preserve">m03b_sold_long_1kg</t>
  </si>
  <si>
    <t xml:space="preserve">10. SOLDADURA LONGITUDINAL TIG 1 kg (M3b)</t>
  </si>
  <si>
    <t xml:space="preserve">m04_encastre</t>
  </si>
  <si>
    <t xml:space="preserve">11. ENCASTRE DE FONDO (M4)</t>
  </si>
  <si>
    <t xml:space="preserve">m05_bordoneado</t>
  </si>
  <si>
    <t xml:space="preserve">12. BORDONEADO (M5)</t>
  </si>
  <si>
    <t xml:space="preserve">m07_circunferencial</t>
  </si>
  <si>
    <t xml:space="preserve">13. SOLDADURA CIRCUNFERENCIAL ×2 (M7) — marcapasos</t>
  </si>
  <si>
    <t xml:space="preserve">m08_espesor</t>
  </si>
  <si>
    <t xml:space="preserve">14. CONTROL DE ESPESOR (M8)</t>
  </si>
  <si>
    <t xml:space="preserve">m09_ph_secado</t>
  </si>
  <si>
    <t xml:space="preserve">15 + 16. PRUEBA HIDRÁULICA + SECADO (un bloque compartido con carros 9 y 10)</t>
  </si>
  <si>
    <t xml:space="preserve">m11_granallado</t>
  </si>
  <si>
    <t xml:space="preserve">17 + 18 + 19. GRANALLADO + DETECCIÓN + CORRECCIÓN (M10 + M11)</t>
  </si>
  <si>
    <t xml:space="preserve">m18_pintura</t>
  </si>
  <si>
    <t xml:space="preserve">20. PINTURA EN POLVO + HORNO (M18)</t>
  </si>
  <si>
    <t xml:space="preserve">m12_carga_polvo</t>
  </si>
  <si>
    <t xml:space="preserve">21. CARGA DE POLVO (M12)</t>
  </si>
  <si>
    <t xml:space="preserve">m13_ensamblaje</t>
  </si>
  <si>
    <t xml:space="preserve">22. ENSAMBLAJE (M13)</t>
  </si>
  <si>
    <t xml:space="preserve">m14_presurizacion</t>
  </si>
  <si>
    <t xml:space="preserve">23. PRESURIZACIÓN (M14)</t>
  </si>
  <si>
    <t xml:space="preserve">m15_perdidas</t>
  </si>
  <si>
    <t xml:space="preserve">24. ENSAYO DE PÉRDIDAS (M15)</t>
  </si>
  <si>
    <t xml:space="preserve">m16_etiquetado</t>
  </si>
  <si>
    <t xml:space="preserve">25. ETIQUETADO (M16)</t>
  </si>
  <si>
    <t xml:space="preserve">m17a_armado_cajas</t>
  </si>
  <si>
    <t xml:space="preserve">26. EMBALAJE — 17a armado de cajas</t>
  </si>
  <si>
    <t xml:space="preserve">m17_embalaje</t>
  </si>
  <si>
    <t xml:space="preserve">26. EMBALAJE Y PALETIZADO (M17)</t>
  </si>
  <si>
    <t xml:space="preserve">m17b_insumos_embalaje</t>
  </si>
  <si>
    <t xml:space="preserve">26. EMBALAJE — 17b insumos de embalaje e identificación (al pie del puesto)</t>
  </si>
  <si>
    <t xml:space="preserve">Total Manuales</t>
  </si>
  <si>
    <t xml:space="preserve">Carros</t>
  </si>
  <si>
    <t xml:space="preserve">2. CORTE — mismas guillotinas que Manuales 2 + 3 (ver hoja Manuales)</t>
  </si>
  <si>
    <t xml:space="preserve">2.1 MARCADO — marcadora 2 (ver hoja Manuales, puesto 6)</t>
  </si>
  <si>
    <t xml:space="preserve">p_libre_cil</t>
  </si>
  <si>
    <t xml:space="preserve">2.2 PULMÓN de cuerpos planos grabados</t>
  </si>
  <si>
    <t xml:space="preserve">p03_cilindrado</t>
  </si>
  <si>
    <t xml:space="preserve">3. CILINDRADO</t>
  </si>
  <si>
    <t xml:space="preserve">p04_punteo</t>
  </si>
  <si>
    <t xml:space="preserve">4. PUNTEO DEL CUERPO</t>
  </si>
  <si>
    <t xml:space="preserve">p05_sold_long</t>
  </si>
  <si>
    <t xml:space="preserve">5. SOLDADURA LONGITUDINAL</t>
  </si>
  <si>
    <t xml:space="preserve">p06_sold_cupla</t>
  </si>
  <si>
    <t xml:space="preserve">6. SOLDADURA DE CUPLA EN LA CÚPULA</t>
  </si>
  <si>
    <t xml:space="preserve">p07_armado_circ</t>
  </si>
  <si>
    <t xml:space="preserve">7. ARMADO + SOLDADURA CIRCUNFERENCIAL</t>
  </si>
  <si>
    <t xml:space="preserve">p08_sold_accesorios</t>
  </si>
  <si>
    <t xml:space="preserve">8. SOLDADURA DE ACCESORIOS</t>
  </si>
  <si>
    <t xml:space="preserve">p081_fab_accesorios</t>
  </si>
  <si>
    <t xml:space="preserve">8.1 FABRICACIÓN DE ACCESORIOS</t>
  </si>
  <si>
    <t xml:space="preserve">p_buffer_semielab</t>
  </si>
  <si>
    <t xml:space="preserve">8.1 BUFFER DE SEMIELABORADOS (al pie de 8.1)</t>
  </si>
  <si>
    <t xml:space="preserve">9 + 10. PRUEBA HIDRÁULICA + SECADO — bloque compartido (ver hoja Manuales)</t>
  </si>
  <si>
    <t xml:space="preserve">p11_pulmon_despacho</t>
  </si>
  <si>
    <t xml:space="preserve">11. ESPERA DEL PINTOR + CARROS DE MANIPULACIÓN</t>
  </si>
  <si>
    <t xml:space="preserve">p12_recepcion_pintados</t>
  </si>
  <si>
    <t xml:space="preserve">12. RECEPCIÓN DE PINTADOS + CAMBIO DE JUEGO (ruedas)</t>
  </si>
  <si>
    <t xml:space="preserve">p13_carga_presurizacion</t>
  </si>
  <si>
    <t xml:space="preserve">13. CARGA, MONTAJE Y PRESURIZACIÓN (estaciones A, B y C)</t>
  </si>
  <si>
    <t xml:space="preserve">p13b_polvo_n2</t>
  </si>
  <si>
    <t xml:space="preserve">13b. N₂ (al pie de 13)</t>
  </si>
  <si>
    <t xml:space="preserve">p14x_insumos_manuales</t>
  </si>
  <si>
    <t xml:space="preserve">INSUMOS DE MONTAJE (al pie de 13; la estantería A abastece al M13 de Manuales)</t>
  </si>
  <si>
    <t xml:space="preserve">p15_etiquetado</t>
  </si>
  <si>
    <t xml:space="preserve">15. ETIQUETADO + NO CONFORME</t>
  </si>
  <si>
    <t xml:space="preserve">p17_ensayos_lote</t>
  </si>
  <si>
    <t xml:space="preserve">14-17. ENSAYOS DE LOTE (adentro) + muestra</t>
  </si>
  <si>
    <t xml:space="preserve">exp_trazabilidad</t>
  </si>
  <si>
    <t xml:space="preserve">14-17. LIBERACIÓN / TRAZABILIDAD (abierto al 17 y a la expedición)</t>
  </si>
  <si>
    <t xml:space="preserve">Total Carros</t>
  </si>
  <si>
    <t xml:space="preserve">Recargas</t>
  </si>
  <si>
    <t xml:space="preserve">rec_R1</t>
  </si>
  <si>
    <t xml:space="preserve">R1 ×2. RECEPCIÓN Y REGISTRO</t>
  </si>
  <si>
    <t xml:space="preserve">rec_R2</t>
  </si>
  <si>
    <t xml:space="preserve">R2 ×2. INSPECCIÓN VISUAL</t>
  </si>
  <si>
    <t xml:space="preserve">rec_R3</t>
  </si>
  <si>
    <t xml:space="preserve">R3. DESCARGA ABC (recinto de polvo)</t>
  </si>
  <si>
    <t xml:space="preserve">rec_R4d</t>
  </si>
  <si>
    <t xml:space="preserve">R4. DESCARTE ABC · BC (recinto de polvo)</t>
  </si>
  <si>
    <t xml:space="preserve">rec_R4bb</t>
  </si>
  <si>
    <t xml:space="preserve">R4. BIG BAG (recinto de polvo)</t>
  </si>
  <si>
    <t xml:space="preserve">rec_R5</t>
  </si>
  <si>
    <t xml:space="preserve">R5. LÍQUIDOS: AGUA · AFFF · CLASE K</t>
  </si>
  <si>
    <t xml:space="preserve">rec_R6</t>
  </si>
  <si>
    <t xml:space="preserve">R6. CO₂: RECUPERACIÓN Y CARGA</t>
  </si>
  <si>
    <t xml:space="preserve">rec_R7</t>
  </si>
  <si>
    <t xml:space="preserve">R7. HALOGENADOS</t>
  </si>
  <si>
    <t xml:space="preserve">rec_R8</t>
  </si>
  <si>
    <t xml:space="preserve">R8 ×2. DESARME Y LIMPIEZA (recinto de polvo)</t>
  </si>
  <si>
    <t xml:space="preserve">rec_R9</t>
  </si>
  <si>
    <t xml:space="preserve">R9. DESARME E INSPECCIÓN GENERAL</t>
  </si>
  <si>
    <t xml:space="preserve">rec_R10</t>
  </si>
  <si>
    <t xml:space="preserve">R10. LABORATORIO</t>
  </si>
  <si>
    <t xml:space="preserve">rec_R11</t>
  </si>
  <si>
    <t xml:space="preserve">R11 + R23. PRUEBA HIDRÁULICA + PH DE MANGUERAS</t>
  </si>
  <si>
    <t xml:space="preserve">rec_R12</t>
  </si>
  <si>
    <t xml:space="preserve">R12 + R13. SECADO + VIDEOSCOPIO</t>
  </si>
  <si>
    <t xml:space="preserve">rec_R14</t>
  </si>
  <si>
    <t xml:space="preserve">R14 ×2. PINTURA (recinto)</t>
  </si>
  <si>
    <t xml:space="preserve">rec_R15</t>
  </si>
  <si>
    <t xml:space="preserve">R15 ×2. CARGA DE POLVO ABC · BC (recinto)</t>
  </si>
  <si>
    <t xml:space="preserve">rec_claseD</t>
  </si>
  <si>
    <t xml:space="preserve">SECTOR CLASE D (recinto; parte del 15 y del 4)</t>
  </si>
  <si>
    <t xml:space="preserve">rec_R16</t>
  </si>
  <si>
    <t xml:space="preserve">R16 ×2. ENSAMBLAJE Y MARBETE (recinto)</t>
  </si>
  <si>
    <t xml:space="preserve">rec_R17</t>
  </si>
  <si>
    <t xml:space="preserve">R17. PRESURIZACIÓN (recinto)</t>
  </si>
  <si>
    <t xml:space="preserve">rec_R18</t>
  </si>
  <si>
    <t xml:space="preserve">R18 + R19. ENSAMBLAJE GENERAL + CONTROL DE PESO</t>
  </si>
  <si>
    <t xml:space="preserve">rec_R20</t>
  </si>
  <si>
    <t xml:space="preserve">R20 ×2. ENSAYO DE PÉRDIDAS</t>
  </si>
  <si>
    <t xml:space="preserve">rec_R21</t>
  </si>
  <si>
    <t xml:space="preserve">R21 ×2. PRECINTO, ETIQUETA Y DESPACHO</t>
  </si>
  <si>
    <t xml:space="preserve">rec_R22</t>
  </si>
  <si>
    <t xml:space="preserve">R22. INUTILIZACIÓN</t>
  </si>
  <si>
    <t xml:space="preserve">rec_PL</t>
  </si>
  <si>
    <t xml:space="preserve">PL. PULMÓN A RECINTO (espera de jaulas)</t>
  </si>
  <si>
    <t xml:space="preserve">rec_clima</t>
  </si>
  <si>
    <t xml:space="preserve">CLIMA DEL RECINTO DE POLVO</t>
  </si>
  <si>
    <t xml:space="preserve">rec_polvo</t>
  </si>
  <si>
    <t xml:space="preserve">POLVO NUEVO (al pie de R15)</t>
  </si>
  <si>
    <t xml:space="preserve">rec_repuestos</t>
  </si>
  <si>
    <t xml:space="preserve">REPUESTOS (al pie de R16 y R17)</t>
  </si>
  <si>
    <t xml:space="preserve">rec_pulmon_e</t>
  </si>
  <si>
    <t xml:space="preserve">PULMÓN DE ENTRADA (E) — jaulas de clientes</t>
  </si>
  <si>
    <t xml:space="preserve">rec_pulmon_d</t>
  </si>
  <si>
    <t xml:space="preserve">PULMÓN DE SALIDA (D) — jaulas listas por cliente y ruta</t>
  </si>
  <si>
    <t xml:space="preserve">rec_vacias</t>
  </si>
  <si>
    <t xml:space="preserve">JAULAS VACÍAS</t>
  </si>
  <si>
    <t xml:space="preserve">rec_baterias</t>
  </si>
  <si>
    <t xml:space="preserve">CARGA DE BATERÍAS + TRAZABILIDAD</t>
  </si>
  <si>
    <t xml:space="preserve">Total Recargas</t>
  </si>
  <si>
    <t xml:space="preserve">Total de las tres líneas (sin almacenes)</t>
  </si>
  <si>
    <t xml:space="preserve">Σ huellas: suma de los rectángulos de cada hoja. Un área compartida se cuenta una sola vez en la superficie; sus equipos se suman en la hoja de la línea que los usa.</t>
  </si>
  <si>
    <t xml:space="preserve">MANUALES — dimensiones por puesto (sin almacenes)</t>
  </si>
  <si>
    <t xml:space="preserve">Una fila gris oscuro por área del plano (envolvente y su superficie), una gris claro por puesto del Balanceo y una por cada rectángulo del plano. Rojo = falta el dato en las fuentes. Convenciones en la hoja Leeme.</t>
  </si>
  <si>
    <t xml:space="preserve">N° Balanceo</t>
  </si>
  <si>
    <t xml:space="preserve">Puesto</t>
  </si>
  <si>
    <t xml:space="preserve">Máq.</t>
  </si>
  <si>
    <t xml:space="preserve">Turnos</t>
  </si>
  <si>
    <t xml:space="preserve">Ítem</t>
  </si>
  <si>
    <t xml:space="preserve">Tipo</t>
  </si>
  <si>
    <t xml:space="preserve">Cant.</t>
  </si>
  <si>
    <t xml:space="preserve">Alto (m)</t>
  </si>
  <si>
    <t xml:space="preserve">Huella (m²)</t>
  </si>
  <si>
    <t xml:space="preserve">X (m)</t>
  </si>
  <si>
    <t xml:space="preserve">Y (m)</t>
  </si>
  <si>
    <t xml:space="preserve">Disposición interna / ubicación</t>
  </si>
  <si>
    <t xml:space="preserve">Dimensiones internas / espacio de uso</t>
  </si>
  <si>
    <t xml:space="preserve">Fuente</t>
  </si>
  <si>
    <t xml:space="preserve">A confirmar</t>
  </si>
  <si>
    <t xml:space="preserve">Σ huellas del área (m²)</t>
  </si>
  <si>
    <t xml:space="preserve">% del área ocupado</t>
  </si>
  <si>
    <t xml:space="preserve">Envolvente del área</t>
  </si>
  <si>
    <t xml:space="preserve">En L. G1 (frente S) al centro; al N su tope trasero de 1,0 m; al S los brazos de rodillos de 1,0 m y la mesa elevadora 1, que el autoelevador carga entrando derecho desde el O. Paso de operario de 1,45 m al E de la mesa 1. G2 al NE (frente O); al O la mesa elevadora 2, que es el pulmón de franjas; al E el tope trasero de 0,8 m y los 2 carros FCEP (desarrollos de manuales al N, piezas de carros al S). Carro de scrap al NO.</t>
  </si>
  <si>
    <t xml:space="preserve">Plano rev23, sector p02_corte (polígono: superficie por coordenadas; ancho y largo = caja que lo contiene)</t>
  </si>
  <si>
    <t xml:space="preserve">Corte de chapa — 1.er corte en franjas (G1)</t>
  </si>
  <si>
    <t xml:space="preserve">Balanceo, Carga fila 35 (N°, puesto, máquinas, turnos)</t>
  </si>
  <si>
    <t xml:space="preserve">Guillotina 1 Ermaksan CNC HGS 2600-6</t>
  </si>
  <si>
    <t xml:space="preserve">máquina</t>
  </si>
  <si>
    <t xml:space="preserve">centro del área, frente S</t>
  </si>
  <si>
    <t xml:space="preserve">cuchilla 2.600 mm, espesor máx. 6 mm</t>
  </si>
  <si>
    <t xml:space="preserve">Plano rev23 p02_corte #11; Balanceo §5. Alto: ficha de reventa ERMAK HGS 2600 × 6: 3.395 × 1.880 × 1.550 mm (resale.info n.º 164666861)</t>
  </si>
  <si>
    <t xml:space="preserve">alto tomado de la ficha de reventa del mismo tamaño (2006): confirmar con Ermaksan</t>
  </si>
  <si>
    <t xml:space="preserve">Tope trasero G1 (zona libre)</t>
  </si>
  <si>
    <t xml:space="preserve">espacio de uso</t>
  </si>
  <si>
    <t xml:space="preserve">—</t>
  </si>
  <si>
    <t xml:space="preserve">al N de la G1</t>
  </si>
  <si>
    <t xml:space="preserve">tope trasero 1,0 m → franjas ≤ 1.000 mm</t>
  </si>
  <si>
    <t xml:space="preserve">Plano rev23 p02_corte #9</t>
  </si>
  <si>
    <t xml:space="preserve">Brazos de apoyo con rodillos</t>
  </si>
  <si>
    <t xml:space="preserve">auxiliar</t>
  </si>
  <si>
    <t xml:space="preserve">a confirmar</t>
  </si>
  <si>
    <t xml:space="preserve">entre la mesa 1 y la G1</t>
  </si>
  <si>
    <t xml:space="preserve">brazos de 1,0 m</t>
  </si>
  <si>
    <t xml:space="preserve">Plano rev23 p02_corte #12</t>
  </si>
  <si>
    <t xml:space="preserve">alto = mesa de la guillotina</t>
  </si>
  <si>
    <t xml:space="preserve">Mesa elevadora 1 SJG3.0-1.6 (paquete de hojas)</t>
  </si>
  <si>
    <t xml:space="preserve">al S de la G1, entra el autoelevador desde el O</t>
  </si>
  <si>
    <t xml:space="preserve">paquete 1,5 × 3,0 m, el lado de 1,5 hacia la cuchilla</t>
  </si>
  <si>
    <t xml:space="preserve">Plano rev23 p02_corte #13</t>
  </si>
  <si>
    <t xml:space="preserve">plataforma y alto cerrado/abierto: ficha SJG3.0-1.6</t>
  </si>
  <si>
    <t xml:space="preserve">Operario G1</t>
  </si>
  <si>
    <t xml:space="preserve">operario</t>
  </si>
  <si>
    <t xml:space="preserve">al E de los brazos</t>
  </si>
  <si>
    <t xml:space="preserve">zona del operario (símbolo del plano)</t>
  </si>
  <si>
    <t xml:space="preserve">Plano rev23 p02_corte #14</t>
  </si>
  <si>
    <t xml:space="preserve">Corte de chapa — 2.º corte en piezas (G2)</t>
  </si>
  <si>
    <t xml:space="preserve">Balanceo, Carga fila 36 (N°, puesto, máquinas, turnos)</t>
  </si>
  <si>
    <t xml:space="preserve">Guillotina 2 QC12Y 6 × 2500</t>
  </si>
  <si>
    <t xml:space="preserve">NE del área, frente O</t>
  </si>
  <si>
    <t xml:space="preserve">cuchilla 2.500 mm, mesa a 0,78 m, garganta 150 mm</t>
  </si>
  <si>
    <t xml:space="preserve">Plano rev23 p02_corte #2; Balanceo §5. Alto: ficha QC12Y-6X2500: 3.100 × 1.620 × 1.600 mm, mesa a 780 mm (goldsupplier p106252035)</t>
  </si>
  <si>
    <t xml:space="preserve">plano 3,04 m de largo vs 3,10 m de la ficha</t>
  </si>
  <si>
    <t xml:space="preserve">Tope trasero G2 (zona libre)</t>
  </si>
  <si>
    <t xml:space="preserve">al E de la G2</t>
  </si>
  <si>
    <t xml:space="preserve">tope trasero 0,8 m</t>
  </si>
  <si>
    <t xml:space="preserve">Plano rev23 p02_corte #3</t>
  </si>
  <si>
    <t xml:space="preserve">Mesa elevadora 2 SJG3.0-1.6 = pulmón de franjas</t>
  </si>
  <si>
    <t xml:space="preserve">pulmón</t>
  </si>
  <si>
    <t xml:space="preserve">al O de la G2</t>
  </si>
  <si>
    <t xml:space="preserve">franjas en la mesa; 90 franjas como máximo (Pulmones H6), 0 módulos de estante</t>
  </si>
  <si>
    <t xml:space="preserve">Plano rev23 p02_corte #1; Pulmones fila 6</t>
  </si>
  <si>
    <t xml:space="preserve">plataforma y alto: ficha SJG3.0-1.6</t>
  </si>
  <si>
    <t xml:space="preserve">Carro FCEP10520 desarrollos manuales → marcado</t>
  </si>
  <si>
    <t xml:space="preserve">carro</t>
  </si>
  <si>
    <t xml:space="preserve">al E del tope de la G2, lado N</t>
  </si>
  <si>
    <t xml:space="preserve">carro de estantes Storage Compat</t>
  </si>
  <si>
    <t xml:space="preserve">Plano rev23 p02_corte #5</t>
  </si>
  <si>
    <t xml:space="preserve">alto del carro</t>
  </si>
  <si>
    <t xml:space="preserve">Carro FCEP10520 piezas de carros → marcado 2</t>
  </si>
  <si>
    <t xml:space="preserve">al E del tope de la G2, lado S</t>
  </si>
  <si>
    <t xml:space="preserve">Plano rev23 p02_corte #6</t>
  </si>
  <si>
    <t xml:space="preserve">Carro de scrap (retazos)</t>
  </si>
  <si>
    <t xml:space="preserve">NO del área</t>
  </si>
  <si>
    <t xml:space="preserve">Plano rev23 p02_corte #8</t>
  </si>
  <si>
    <t xml:space="preserve">Operario G2</t>
  </si>
  <si>
    <t xml:space="preserve">al N de la mesa 2</t>
  </si>
  <si>
    <t xml:space="preserve">Plano rev23 p02_corte #7</t>
  </si>
  <si>
    <t xml:space="preserve">Línea de bobina de O a E: desbobinador con carro porta-bobinas, enderezadora, alimentador y prensa (frente S). Contenedor de scrap de 1.000 l al E de la prensa, con uñas para el autoelevador. Portamatrices y estantería de matrices al S de la línea; operario al S de la prensa. Contra el borde N el rack de fondos y cúpulas (2 vanos × 3 niv.) y 2 pallets en armado a su lado. El volteador deja el rollo en el porta-bobinas desde el O.</t>
  </si>
  <si>
    <t xml:space="preserve">Plano rev23, sector m10_embutido (rect)</t>
  </si>
  <si>
    <t xml:space="preserve">Corte de disco y embutido (cúpula y fondo)</t>
  </si>
  <si>
    <t xml:space="preserve">Balanceo, Carga fila 37 (N°, puesto, máquinas, turnos)</t>
  </si>
  <si>
    <t xml:space="preserve">Desbobinador + carro porta-bobinas</t>
  </si>
  <si>
    <t xml:space="preserve">extremo O de la línea</t>
  </si>
  <si>
    <t xml:space="preserve">rollo Ø ≤ 1.100 mm (volteador, plano p01)</t>
  </si>
  <si>
    <t xml:space="preserve">Plano rev23 m10 #1</t>
  </si>
  <si>
    <t xml:space="preserve">alto</t>
  </si>
  <si>
    <t xml:space="preserve">Enderezadora + lubricante</t>
  </si>
  <si>
    <t xml:space="preserve">2.º de la línea</t>
  </si>
  <si>
    <t xml:space="preserve">Plano rev23 m10 #2</t>
  </si>
  <si>
    <t xml:space="preserve">Alimentador Cena PRE-1</t>
  </si>
  <si>
    <t xml:space="preserve">3.º de la línea</t>
  </si>
  <si>
    <t xml:space="preserve">Plano rev23 m10 #3</t>
  </si>
  <si>
    <t xml:space="preserve">Prensa Sangiacomo</t>
  </si>
  <si>
    <t xml:space="preserve">extremo E de la línea, frente S</t>
  </si>
  <si>
    <t xml:space="preserve">Plano rev23 m10 #4</t>
  </si>
  <si>
    <t xml:space="preserve">alto y foso</t>
  </si>
  <si>
    <t xml:space="preserve">Portamatrices</t>
  </si>
  <si>
    <t xml:space="preserve">al S del alimentador</t>
  </si>
  <si>
    <t xml:space="preserve">Plano rev23 m10 #6</t>
  </si>
  <si>
    <t xml:space="preserve">Estantería de matrices (8 juegos)</t>
  </si>
  <si>
    <t xml:space="preserve">al S de la línea</t>
  </si>
  <si>
    <t xml:space="preserve">8 juegos</t>
  </si>
  <si>
    <t xml:space="preserve">Plano rev23 m10 #7</t>
  </si>
  <si>
    <t xml:space="preserve">Contenedor scrap esqueleto 1.000 l</t>
  </si>
  <si>
    <t xml:space="preserve">al E de la prensa, 1,7 m adentro</t>
  </si>
  <si>
    <t xml:space="preserve">1.000 l; uñas para el autoelevador</t>
  </si>
  <si>
    <t xml:space="preserve">Plano rev23 m10 #8</t>
  </si>
  <si>
    <t xml:space="preserve">Operario</t>
  </si>
  <si>
    <t xml:space="preserve">al S de la prensa</t>
  </si>
  <si>
    <t xml:space="preserve">Plano rev23 m10 #5</t>
  </si>
  <si>
    <t xml:space="preserve">Rack selectivo de fondos y cúpulas (supermercado)</t>
  </si>
  <si>
    <t xml:space="preserve">contra el borde N, se carga desde el pasillo</t>
  </si>
  <si>
    <t xml:space="preserve">2 vanos de 2,7 m × fondo 1,2 m × 3 niveles, 1.er nivel a 400 mm; 17 pallets 1.200 × 800 de 12 cajones, 1.045 mm de alto (Parametros B53:B57; Pulmones H40)</t>
  </si>
  <si>
    <t xml:space="preserve">Plano rev23 m10 #16; Pulmones filas 10, 11 y 32 a 40</t>
  </si>
  <si>
    <t xml:space="preserve">alto del rack</t>
  </si>
  <si>
    <t xml:space="preserve">Pallet de cúpulas en armado (piso)</t>
  </si>
  <si>
    <t xml:space="preserve">al E del rack</t>
  </si>
  <si>
    <t xml:space="preserve">pallet 1.200 × 800</t>
  </si>
  <si>
    <t xml:space="preserve">Plano rev23 m10 #18</t>
  </si>
  <si>
    <t xml:space="preserve">Pallet de fondos en armado (piso)</t>
  </si>
  <si>
    <t xml:space="preserve">al E del anterior</t>
  </si>
  <si>
    <t xml:space="preserve">Plano rev23 m10 #20</t>
  </si>
  <si>
    <t xml:space="preserve">Las 2 prensas MB-21 lado a lado (frente S) al centro, operario al S. Estante de cajones de cúpulas de la ola contra el borde N; carro de 12 cajones de salida al S, hacia la soldadura de cuello.</t>
  </si>
  <si>
    <t xml:space="preserve">Plano rev23, sector m06a_prep_cuello (rect)</t>
  </si>
  <si>
    <t xml:space="preserve">Preparación de cuello</t>
  </si>
  <si>
    <t xml:space="preserve">Balanceo, Carga fila 38 (N°, puesto, máquinas, turnos)</t>
  </si>
  <si>
    <t xml:space="preserve">Prensa de banco Pannier MB-21 (1)</t>
  </si>
  <si>
    <t xml:space="preserve">centro, frente S</t>
  </si>
  <si>
    <t xml:space="preserve">3.500 kg de fuerza, cuño de muesca, bloque en V</t>
  </si>
  <si>
    <t xml:space="preserve">Plano rev23 m06a #1. Alto: ficha MB21: 220 × 310 × 660 mm (Wagener, Praegegeraete.pdf)</t>
  </si>
  <si>
    <t xml:space="preserve">el rect del plano incluye el banco: alto del banco</t>
  </si>
  <si>
    <t xml:space="preserve">Prensa de banco Pannier MB-21 (2)</t>
  </si>
  <si>
    <t xml:space="preserve">ídem</t>
  </si>
  <si>
    <t xml:space="preserve">Plano rev23 m06a #2. Alto: ficha MB21: 220 × 310 × 660 mm (Wagener, Praegegeraete.pdf)</t>
  </si>
  <si>
    <t xml:space="preserve">alto del banco</t>
  </si>
  <si>
    <t xml:space="preserve">al S de las prensas</t>
  </si>
  <si>
    <t xml:space="preserve">Plano rev23 m06a #3</t>
  </si>
  <si>
    <t xml:space="preserve">Estante de cajones: cúpulas de la ola</t>
  </si>
  <si>
    <t xml:space="preserve">borde N</t>
  </si>
  <si>
    <t xml:space="preserve">módulo 1,2 × 0,6 m con 3 cajones 600 × 400 × 300 por nivel, 4 niveles (Parametros B23:B24, Unidades fila 37); 15 cajones de cúpulas de la ola (Pulmones H39)</t>
  </si>
  <si>
    <t xml:space="preserve">Plano rev23 m06a #4; Pulmones fila 39. Alto: Pulmones, Parametros B9 (EST_ALTO)</t>
  </si>
  <si>
    <t xml:space="preserve">Carro de 12 cajones: cúpulas preparadas → M6b</t>
  </si>
  <si>
    <t xml:space="preserve">al S</t>
  </si>
  <si>
    <t xml:space="preserve">carro de 12 cajones: 4 niveles de 3 cajones 600 × 400 × 300 (Parametros B38)</t>
  </si>
  <si>
    <t xml:space="preserve">Plano rev23 m06a #6</t>
  </si>
  <si>
    <t xml:space="preserve">Marcadora 1 (frente S) al NO, operario al S; mesa FMT al E del operario; 2 carros de desarrollos marcados al NE (1 kg y 2,5–10 kg) hacia el cilindrado. Estante de desarrollos contra el borde S, cargado desde el paso de 1,5 m por donde llegan los carros de la G2.</t>
  </si>
  <si>
    <t xml:space="preserve">Plano rev23, sector m00_marcado_man (rect)</t>
  </si>
  <si>
    <t xml:space="preserve">Marcado del cuerpo (manuales + carros)</t>
  </si>
  <si>
    <t xml:space="preserve">Balanceo, Carga fila 39 (N°, puesto, máquinas, turnos)</t>
  </si>
  <si>
    <t xml:space="preserve">Marcadora 1 (micropercusión Pannier ADP120160D)</t>
  </si>
  <si>
    <t xml:space="preserve">NO, frente S</t>
  </si>
  <si>
    <t xml:space="preserve">montada en columna sobre banco</t>
  </si>
  <si>
    <t xml:space="preserve">Plano rev23 m00 #1; Word manuales (marcado)</t>
  </si>
  <si>
    <t xml:space="preserve">Mesa FMT ME500</t>
  </si>
  <si>
    <t xml:space="preserve">al E del operario</t>
  </si>
  <si>
    <t xml:space="preserve">Plano rev23 m00 #3</t>
  </si>
  <si>
    <t xml:space="preserve">al S de la marcadora</t>
  </si>
  <si>
    <t xml:space="preserve">Plano rev23 m00 #2</t>
  </si>
  <si>
    <t xml:space="preserve">Carro de marcados 1 kg → M1</t>
  </si>
  <si>
    <t xml:space="preserve">NE</t>
  </si>
  <si>
    <t xml:space="preserve">Plano rev23 m00 #4</t>
  </si>
  <si>
    <t xml:space="preserve">Carro de marcados 2,5–10 kg → M1</t>
  </si>
  <si>
    <t xml:space="preserve">NE, debajo del anterior</t>
  </si>
  <si>
    <t xml:space="preserve">Plano rev23 m00 #5</t>
  </si>
  <si>
    <t xml:space="preserve">Estante de desarrollos (pulmón)</t>
  </si>
  <si>
    <t xml:space="preserve">borde S, se carga desde el paso</t>
  </si>
  <si>
    <t xml:space="preserve">módulo 1,2 × 0,6 m; último nivel ≤ 1,6 m, primero a 0,1 m (Parametros B7:B11); bandeja 1.200 × 600 (B19:B20); 1.505 desarrollos máx., 15 bandejas (Pulmones H7, N7)</t>
  </si>
  <si>
    <t xml:space="preserve">Plano rev23 m00 #7; Pulmones fila 7 (3 mód., 5,32 m²). Alto: Pulmones, Parametros B9 (EST_ALTO)</t>
  </si>
  <si>
    <t xml:space="preserve">Marcadora 2 (frente E) al O, operario al E; mesa FMT y carro EFE 600 contra el borde E. Sale al pulmón 2.2 de cuerpos planos grabados.</t>
  </si>
  <si>
    <t xml:space="preserve">Plano rev23, sector p021_marcado (rect)</t>
  </si>
  <si>
    <t xml:space="preserve">Marcadora 2</t>
  </si>
  <si>
    <t xml:space="preserve">O, frente E</t>
  </si>
  <si>
    <t xml:space="preserve">Plano rev23 p021 #4</t>
  </si>
  <si>
    <t xml:space="preserve">borde E</t>
  </si>
  <si>
    <t xml:space="preserve">Plano rev23 p021 #3</t>
  </si>
  <si>
    <t xml:space="preserve">Carro EFE 600 → pulmón 2.2</t>
  </si>
  <si>
    <t xml:space="preserve">borde E, al S de la mesa</t>
  </si>
  <si>
    <t xml:space="preserve">Plano rev23 p021 #1</t>
  </si>
  <si>
    <t xml:space="preserve">al E de la marcadora</t>
  </si>
  <si>
    <t xml:space="preserve">Plano rev23 p021 #2</t>
  </si>
  <si>
    <t xml:space="preserve">Soldadora FS-HFM1 (frente N) contra la pared S, operario al N; carro de 12 cajones de cúpulas preparadas al N; carro de salida al E hacia la circunferencial.</t>
  </si>
  <si>
    <t xml:space="preserve">Plano rev23, sector m06_cuello (rect)</t>
  </si>
  <si>
    <t xml:space="preserve">Soldadura del cuello a la cúpula</t>
  </si>
  <si>
    <t xml:space="preserve">Balanceo, Carga fila 40 (N°, puesto, máquinas, turnos)</t>
  </si>
  <si>
    <t xml:space="preserve">Soldadora de cuello FS-HFM1</t>
  </si>
  <si>
    <t xml:space="preserve">contra la pared S, frente N</t>
  </si>
  <si>
    <t xml:space="preserve">Plano rev23 m06 #1</t>
  </si>
  <si>
    <t xml:space="preserve">al N de la soldadora</t>
  </si>
  <si>
    <t xml:space="preserve">Plano rev23 m06 #2</t>
  </si>
  <si>
    <t xml:space="preserve">Carro de 12 cajones: cúpulas preparadas (llega del M6a)</t>
  </si>
  <si>
    <t xml:space="preserve">N</t>
  </si>
  <si>
    <t xml:space="preserve">Plano rev23 m06 #4</t>
  </si>
  <si>
    <t xml:space="preserve">Carro de cúpulas con cuello → M7</t>
  </si>
  <si>
    <t xml:space="preserve">E</t>
  </si>
  <si>
    <t xml:space="preserve">Plano rev23 m06 #5</t>
  </si>
  <si>
    <t xml:space="preserve">Roladora (frente S) al N; al NO el carro de desarrollos marcados, pegado al marcado (pila al alcance, sin estante); operario al S; al E los carros de virolas: 2,5–10 kg al N hacia M3 y 1 kg al S hacia M3b.</t>
  </si>
  <si>
    <t xml:space="preserve">Plano rev23, sector m01_cilindrado_1kg (rect)</t>
  </si>
  <si>
    <t xml:space="preserve">Cilindrado</t>
  </si>
  <si>
    <t xml:space="preserve">Balanceo, Carga fila 41 (N°, puesto, máquinas, turnos)</t>
  </si>
  <si>
    <t xml:space="preserve">Roladora 1 – 10 kg</t>
  </si>
  <si>
    <t xml:space="preserve">N, frente S</t>
  </si>
  <si>
    <t xml:space="preserve">Plano rev23 m01 #2</t>
  </si>
  <si>
    <t xml:space="preserve">Carro de desarrollos marcados (pulmón pegado)</t>
  </si>
  <si>
    <t xml:space="preserve">NO, junto al marcado</t>
  </si>
  <si>
    <t xml:space="preserve">pila al alcance; 201 desarrollos máx., 0 módulos (Pulmones H12)</t>
  </si>
  <si>
    <t xml:space="preserve">Plano rev23 m01 #1; Pulmones fila 12</t>
  </si>
  <si>
    <t xml:space="preserve">S de la roladora</t>
  </si>
  <si>
    <t xml:space="preserve">Plano rev23 m01 #3</t>
  </si>
  <si>
    <t xml:space="preserve">Carro de virolas 2,5–10 kg → M3</t>
  </si>
  <si>
    <t xml:space="preserve">E, lado N</t>
  </si>
  <si>
    <t xml:space="preserve">carro porta-bandejas 1,3 × 0,7 m, 3 bandejas 1.200 × 600 a la altura del estante (Parametros B37, B42)</t>
  </si>
  <si>
    <t xml:space="preserve">Plano rev23 m01 #4</t>
  </si>
  <si>
    <t xml:space="preserve">Carro de virolas 1 kg → M3b</t>
  </si>
  <si>
    <t xml:space="preserve">E, lado S</t>
  </si>
  <si>
    <t xml:space="preserve">Plano rev23 m01 #5</t>
  </si>
  <si>
    <t xml:space="preserve">Estantes de virolas en U: 2 mód. al N, 2 al O y 2 al E. Soldadora Firesafer (frente N) al S con el brazo de extracción; operario frente a la máquina. 2 carros de cuerpos al E hacia el encastre (la soldadora no para).</t>
  </si>
  <si>
    <t xml:space="preserve">Plano rev23, sector m03_sold_long (rect)</t>
  </si>
  <si>
    <t xml:space="preserve">Soldadura longitudinal — 2,5 a 10 kg</t>
  </si>
  <si>
    <t xml:space="preserve">Balanceo, Carga fila 42 (N°, puesto, máquinas, turnos)</t>
  </si>
  <si>
    <t xml:space="preserve">Soldadora longitudinal Firesafer</t>
  </si>
  <si>
    <t xml:space="preserve">S, frente N</t>
  </si>
  <si>
    <t xml:space="preserve">Plano rev23 m03 #1</t>
  </si>
  <si>
    <t xml:space="preserve">Brazo de extracción de humos</t>
  </si>
  <si>
    <t xml:space="preserve">SO de la soldadora</t>
  </si>
  <si>
    <t xml:space="preserve">Plano rev23 m03 #2</t>
  </si>
  <si>
    <t xml:space="preserve">alto del brazo</t>
  </si>
  <si>
    <t xml:space="preserve">frente a la soldadora</t>
  </si>
  <si>
    <t xml:space="preserve">zona del operario 1,4 × 0,45</t>
  </si>
  <si>
    <t xml:space="preserve">Plano rev23 m03 #3</t>
  </si>
  <si>
    <t xml:space="preserve">Estante de virolas (N)</t>
  </si>
  <si>
    <t xml:space="preserve">módulo 1,2 × 0,6 m; último nivel ≤ 1,6 m, primero a 0,1 m (Parametros B7:B11); bandeja 1.200 × 600 (B19:B20)</t>
  </si>
  <si>
    <t xml:space="preserve">Plano rev23 m03 #4; Pulmones fila 8. Alto: Pulmones, Parametros B9 (EST_ALTO)</t>
  </si>
  <si>
    <t xml:space="preserve">Estante de virolas (O)</t>
  </si>
  <si>
    <t xml:space="preserve">borde O</t>
  </si>
  <si>
    <t xml:space="preserve">Plano rev23 m03 #6; Pulmones fila 8. Alto: Pulmones, Parametros B9 (EST_ALTO)</t>
  </si>
  <si>
    <t xml:space="preserve">Estante de virolas (E)</t>
  </si>
  <si>
    <t xml:space="preserve">Plano rev23 m03 #8; Pulmones fila 8. Alto: Pulmones, Parametros B9 (EST_ALTO)</t>
  </si>
  <si>
    <t xml:space="preserve">Carros de cuerpos soldados → M4 (2: no para)</t>
  </si>
  <si>
    <t xml:space="preserve">Plano rev23 m03 #10; Pulmones S9</t>
  </si>
  <si>
    <t xml:space="preserve">Estante de virolas de 1 kg contra el borde N; soldadora TIG (frente N) al S con el brazo de extracción; operario al N; carro de cuerpos de 1 kg al E hacia el encastre.</t>
  </si>
  <si>
    <t xml:space="preserve">Plano rev23, sector m03b_sold_long_1kg (rect)</t>
  </si>
  <si>
    <t xml:space="preserve">Soldadura longitudinal TIG — 1 kg</t>
  </si>
  <si>
    <t xml:space="preserve">Balanceo, Carga fila 43 (N°, puesto, máquinas, turnos)</t>
  </si>
  <si>
    <t xml:space="preserve">Soldadora longitudinal TIG 1 kg</t>
  </si>
  <si>
    <t xml:space="preserve">Plano rev23 m03b #1</t>
  </si>
  <si>
    <t xml:space="preserve">Plano rev23 m03b #2</t>
  </si>
  <si>
    <t xml:space="preserve">Plano rev23 m03b #3</t>
  </si>
  <si>
    <t xml:space="preserve">Estante de virolas 1 kg</t>
  </si>
  <si>
    <t xml:space="preserve">Plano rev23 m03b #4; Pulmones fila 8. Alto: Pulmones, Parametros B9 (EST_ALTO)</t>
  </si>
  <si>
    <t xml:space="preserve">Carro de cuerpos 1 kg → M4</t>
  </si>
  <si>
    <t xml:space="preserve">Plano rev23 m03b #6</t>
  </si>
  <si>
    <t xml:space="preserve">Prensa Del Fabro (frente S) al N, operario al S. Estante de cajones de fondos de la ola al O; estantes de cuerpos soldados: 3 mód. al S y 1 al E. Carro de salida al NE hacia el bordoneado.</t>
  </si>
  <si>
    <t xml:space="preserve">Plano rev23, sector m04_encastre (rect)</t>
  </si>
  <si>
    <t xml:space="preserve">Encastre de fondo</t>
  </si>
  <si>
    <t xml:space="preserve">Balanceo, Carga fila 44 (N°, puesto, máquinas, turnos)</t>
  </si>
  <si>
    <t xml:space="preserve">Prensa Del Fabro 30 t</t>
  </si>
  <si>
    <t xml:space="preserve">30 t</t>
  </si>
  <si>
    <t xml:space="preserve">Plano rev23 m04 #1</t>
  </si>
  <si>
    <t xml:space="preserve">S de la prensa</t>
  </si>
  <si>
    <t xml:space="preserve">Plano rev23 m04 #2</t>
  </si>
  <si>
    <t xml:space="preserve">Estante de cuerpos soldados (S)</t>
  </si>
  <si>
    <t xml:space="preserve">borde S</t>
  </si>
  <si>
    <t xml:space="preserve">Plano rev23 m04 #3; Pulmones fila 9 (4 mód.). Alto: Pulmones, Parametros B9 (EST_ALTO)</t>
  </si>
  <si>
    <t xml:space="preserve">Estante de cuerpos soldados (E)</t>
  </si>
  <si>
    <t xml:space="preserve">Plano rev23 m04 #5; Pulmones fila 9. Alto: Pulmones, Parametros B9 (EST_ALTO)</t>
  </si>
  <si>
    <t xml:space="preserve">Estante de cajones: fondos de la ola</t>
  </si>
  <si>
    <t xml:space="preserve">módulo 1,2 × 0,6 m con 3 cajones 600 × 400 × 300 por nivel, 4 niveles (Parametros B23:B24, Unidades fila 37); 13 cajones de fondos de la ola (Pulmones H36)</t>
  </si>
  <si>
    <t xml:space="preserve">Plano rev23 m04 #7; Pulmones fila 36. Alto: Pulmones, Parametros B9 (EST_ALTO)</t>
  </si>
  <si>
    <t xml:space="preserve">Carro de cuerpos con fondo → M5</t>
  </si>
  <si>
    <t xml:space="preserve">Plano rev23 m04 #9</t>
  </si>
  <si>
    <t xml:space="preserve">Pilman (frente S) al N, operario al S; al S los 2 carros de cuerpos con fondo (sin estante); carro de bordoneados al E hacia la circunferencial.</t>
  </si>
  <si>
    <t xml:space="preserve">Plano rev23, sector m05_bordoneado (rect)</t>
  </si>
  <si>
    <t xml:space="preserve">Bordoneado</t>
  </si>
  <si>
    <t xml:space="preserve">Balanceo, Carga fila 45 (N°, puesto, máquinas, turnos)</t>
  </si>
  <si>
    <t xml:space="preserve">Bordoneadora Pilman SWM-400</t>
  </si>
  <si>
    <t xml:space="preserve">Plano rev23 m05 #1</t>
  </si>
  <si>
    <t xml:space="preserve">S de la máquina</t>
  </si>
  <si>
    <t xml:space="preserve">zona del operario 1,1 × 0,45</t>
  </si>
  <si>
    <t xml:space="preserve">Plano rev23 m05 #2</t>
  </si>
  <si>
    <t xml:space="preserve">Cuerpos con fondo: 2 carros del tramo (pulmón)</t>
  </si>
  <si>
    <t xml:space="preserve">S</t>
  </si>
  <si>
    <t xml:space="preserve">carro porta-bandejas 1,3 × 0,7 m, 3 bandejas 1.200 × 600 a la altura del estante (Parametros B37, B42); sin estante, 2 m² (Pulmones O14:P14)</t>
  </si>
  <si>
    <t xml:space="preserve">Plano rev23 m05 #3; Pulmones fila 14</t>
  </si>
  <si>
    <t xml:space="preserve">Carro de bordoneados → M7</t>
  </si>
  <si>
    <t xml:space="preserve">Plano rev23 m05 #4</t>
  </si>
  <si>
    <t xml:space="preserve">Las 2 soldadoras lado a lado al S (frente N), un operario frente a cada una. Estantes de bordoneados en U: 3 mód. al N, 2 al O y 2 al E; 1 mód. de cajones de cúpulas con cuello al NO. Carro de cilindros soldados al E hacia la PH.</t>
  </si>
  <si>
    <t xml:space="preserve">Plano rev23, sector m07_circunferencial (rect)</t>
  </si>
  <si>
    <t xml:space="preserve">Soldadura circunferencial de cúpula y fondo</t>
  </si>
  <si>
    <t xml:space="preserve">Balanceo, Carga fila 46 (N°, puesto, máquinas, turnos)</t>
  </si>
  <si>
    <t xml:space="preserve">Soldadora circunferencial Firesafer 1</t>
  </si>
  <si>
    <t xml:space="preserve">SO, frente N</t>
  </si>
  <si>
    <t xml:space="preserve">bastidor 2 × 1,5 m</t>
  </si>
  <si>
    <t xml:space="preserve">Plano rev23 m07 #1</t>
  </si>
  <si>
    <t xml:space="preserve">Soldadora circunferencial Firesafer 2</t>
  </si>
  <si>
    <t xml:space="preserve">SE, frente N</t>
  </si>
  <si>
    <t xml:space="preserve">Plano rev23 m07 #2</t>
  </si>
  <si>
    <t xml:space="preserve">Operario 1</t>
  </si>
  <si>
    <t xml:space="preserve">frente a la 1</t>
  </si>
  <si>
    <t xml:space="preserve">Plano rev23 m07 #3</t>
  </si>
  <si>
    <t xml:space="preserve">Operario 2</t>
  </si>
  <si>
    <t xml:space="preserve">frente a la 2</t>
  </si>
  <si>
    <t xml:space="preserve">Plano rev23 m07 #4</t>
  </si>
  <si>
    <t xml:space="preserve">Estante de bordoneados (N)</t>
  </si>
  <si>
    <t xml:space="preserve">Plano rev23 m07 #5; Pulmones fila 15 (7 mód.). Alto: Pulmones, Parametros B9 (EST_ALTO)</t>
  </si>
  <si>
    <t xml:space="preserve">Estante de bordoneados (O)</t>
  </si>
  <si>
    <t xml:space="preserve">Plano rev23 m07 #9; Pulmones fila 15. Alto: Pulmones, Parametros B9 (EST_ALTO)</t>
  </si>
  <si>
    <t xml:space="preserve">Estante de bordoneados (E)</t>
  </si>
  <si>
    <t xml:space="preserve">Plano rev23 m07 #11; Pulmones fila 15. Alto: Pulmones, Parametros B9 (EST_ALTO)</t>
  </si>
  <si>
    <t xml:space="preserve">Estante de cajones: cúpulas con cuello</t>
  </si>
  <si>
    <t xml:space="preserve">NO</t>
  </si>
  <si>
    <t xml:space="preserve">módulo 1,2 × 0,6 m con 3 cajones 600 × 400 × 300 por nivel, 4 niveles (Parametros B23:B24, Unidades fila 37)</t>
  </si>
  <si>
    <t xml:space="preserve">Plano rev23 m07 #7; Pulmones fila 13 (1 mód.). Alto: Pulmones, Parametros B9 (EST_ALTO)</t>
  </si>
  <si>
    <t xml:space="preserve">Carro de cilindros soldados → PH</t>
  </si>
  <si>
    <t xml:space="preserve">Plano rev23 m07 #13</t>
  </si>
  <si>
    <t xml:space="preserve">Mesa con el medidor MR017 al S, operario al N; la muestra de rotura (2 %) al costado S, no retiene el lote.</t>
  </si>
  <si>
    <t xml:space="preserve">Plano rev23, sector m08_espesor (rect)</t>
  </si>
  <si>
    <t xml:space="preserve">Control de calidad — Espesor</t>
  </si>
  <si>
    <t xml:space="preserve">Balanceo, Carga fila 47 (N°, puesto, máquinas, turnos)</t>
  </si>
  <si>
    <t xml:space="preserve">Mesa + medidor de espesores MR017</t>
  </si>
  <si>
    <t xml:space="preserve">Plano rev23 m08 #1</t>
  </si>
  <si>
    <t xml:space="preserve">alto de la mesa</t>
  </si>
  <si>
    <t xml:space="preserve">Muestra de rotura (2 %)</t>
  </si>
  <si>
    <t xml:space="preserve">2 % de la producción (Balanceo Carga F47)</t>
  </si>
  <si>
    <t xml:space="preserve">Plano rev23 m08 #2</t>
  </si>
  <si>
    <t xml:space="preserve">N de la mesa</t>
  </si>
  <si>
    <t xml:space="preserve">Plano rev23 m08 #3</t>
  </si>
  <si>
    <t xml:space="preserve">Al O, las 2 PH de manuales (frente S) contra el borde N y debajo el secado de manuales por boquilla. Al centro, las 4 secadoras Yukon en 2 × 2. Al E, las 2 PH de carros (frente O) y el carro de carros que se seca. Tanque de 1.000 l, decantación y la canaleta con pozo de 9,9 m, comunes, a lo largo del borde S. Pulmones en carros (sin estante): 5 de cilindros soldados y 3 de mojados.</t>
  </si>
  <si>
    <t xml:space="preserve">Plano rev23, sector m09_ph_secado (rect)</t>
  </si>
  <si>
    <t xml:space="preserve">Prueba hidráulica</t>
  </si>
  <si>
    <t xml:space="preserve">Balanceo, Carga fila 48 (N°, puesto, máquinas, turnos)</t>
  </si>
  <si>
    <t xml:space="preserve">PH manuales FS-JD12A (1)</t>
  </si>
  <si>
    <t xml:space="preserve">Plano rev23 m09 #8</t>
  </si>
  <si>
    <t xml:space="preserve">PH manuales FS-JD12A (2)</t>
  </si>
  <si>
    <t xml:space="preserve">Plano rev23 m09 #9</t>
  </si>
  <si>
    <t xml:space="preserve">Operario PH manuales</t>
  </si>
  <si>
    <t xml:space="preserve">S de las PH</t>
  </si>
  <si>
    <t xml:space="preserve">Plano rev23 m09 #18</t>
  </si>
  <si>
    <t xml:space="preserve">Cilindros soldados: 5 carros del tramo (pulmón)</t>
  </si>
  <si>
    <t xml:space="preserve">carro porta-bandejas 1,3 × 0,7 m, 3 bandejas 1.200 × 600 a la altura del estante (Parametros B37, B42); sin estante, 5 m² (Pulmones O16:P16)</t>
  </si>
  <si>
    <t xml:space="preserve">Plano rev23 m09 #21; Pulmones fila 16</t>
  </si>
  <si>
    <t xml:space="preserve">Decantación + separador de aceites (común)</t>
  </si>
  <si>
    <t xml:space="preserve">SO</t>
  </si>
  <si>
    <t xml:space="preserve">Plano rev23 m09 #6</t>
  </si>
  <si>
    <t xml:space="preserve">Tanque de agua 1.000 l</t>
  </si>
  <si>
    <t xml:space="preserve">S, al centro</t>
  </si>
  <si>
    <t xml:space="preserve">1.000 l, Ø 1,4 m en planta</t>
  </si>
  <si>
    <t xml:space="preserve">Plano rev23 m09 #10</t>
  </si>
  <si>
    <t xml:space="preserve">Canaleta + pozo (común a las dos PH)</t>
  </si>
  <si>
    <t xml:space="preserve">a lo largo del borde S</t>
  </si>
  <si>
    <t xml:space="preserve">Plano rev23 m09 #16</t>
  </si>
  <si>
    <t xml:space="preserve">profundidad</t>
  </si>
  <si>
    <t xml:space="preserve">Secado</t>
  </si>
  <si>
    <t xml:space="preserve">Balanceo, Carga fila 49 (N°, puesto, máquinas, turnos)</t>
  </si>
  <si>
    <t xml:space="preserve">Secado de manuales por boquilla</t>
  </si>
  <si>
    <t xml:space="preserve">S de las PH manuales</t>
  </si>
  <si>
    <t xml:space="preserve">cilindros por boquilla</t>
  </si>
  <si>
    <t xml:space="preserve">Plano rev23 m09 #7</t>
  </si>
  <si>
    <t xml:space="preserve">Secadora Yukon 1</t>
  </si>
  <si>
    <t xml:space="preserve">Plano rev23 m09 #1</t>
  </si>
  <si>
    <t xml:space="preserve">Secadora Yukon 2</t>
  </si>
  <si>
    <t xml:space="preserve">Plano rev23 m09 #2</t>
  </si>
  <si>
    <t xml:space="preserve">Secadora Yukon 3</t>
  </si>
  <si>
    <t xml:space="preserve">Plano rev23 m09 #3</t>
  </si>
  <si>
    <t xml:space="preserve">Secadora Yukon 4</t>
  </si>
  <si>
    <t xml:space="preserve">Plano rev23 m09 #4</t>
  </si>
  <si>
    <t xml:space="preserve">Yukon + bomba</t>
  </si>
  <si>
    <t xml:space="preserve">SE</t>
  </si>
  <si>
    <t xml:space="preserve">Plano rev23 m09 #15</t>
  </si>
  <si>
    <t xml:space="preserve">Cilindros mojados: 3 carros (pulmón)</t>
  </si>
  <si>
    <t xml:space="preserve">carro porta-bandejas 1,3 × 0,7 m, 3 bandejas 1.200 × 600 a la altura del estante (Parametros B37, B42); sin estante, 3 m² (Pulmones O17:P17)</t>
  </si>
  <si>
    <t xml:space="preserve">Plano rev23 m09 #22; Pulmones fila 17</t>
  </si>
  <si>
    <t xml:space="preserve">Entra por el E. Al NE la granalla en pallet y el ciclón; rodillos de entrada, granalladora G-100 (frente S) al centro y rodillos de salida al O. Mesa de inspección con luz al O y 3 jaulas (a corrección, a re-granallar, descarte). Amoladora con extracción (corrección) al N. 3 carros de cilindros secos al SE (sin estante); rack de insumos de 1 mód. al S.</t>
  </si>
  <si>
    <t xml:space="preserve">Plano rev23, sector m11_granallado (rect)</t>
  </si>
  <si>
    <t xml:space="preserve">Granallado</t>
  </si>
  <si>
    <t xml:space="preserve">Balanceo, Carga fila 50 (N°, puesto, máquinas, turnos)</t>
  </si>
  <si>
    <t xml:space="preserve">Granalladora AirBlast G-100</t>
  </si>
  <si>
    <t xml:space="preserve">Plano rev23 m11 #5</t>
  </si>
  <si>
    <t xml:space="preserve">Rodillos de entrada</t>
  </si>
  <si>
    <t xml:space="preserve">E de la granalladora</t>
  </si>
  <si>
    <t xml:space="preserve">Plano rev23 m11 #4</t>
  </si>
  <si>
    <t xml:space="preserve">Rodillos de salida</t>
  </si>
  <si>
    <t xml:space="preserve">O de la granalladora</t>
  </si>
  <si>
    <t xml:space="preserve">Plano rev23 m11 #6</t>
  </si>
  <si>
    <t xml:space="preserve">Ciclón + filtros</t>
  </si>
  <si>
    <t xml:space="preserve">Plano rev23 m11 #2</t>
  </si>
  <si>
    <t xml:space="preserve">Granalla (pallet)</t>
  </si>
  <si>
    <t xml:space="preserve">Plano rev23 m11 #1</t>
  </si>
  <si>
    <t xml:space="preserve">Operario granallado</t>
  </si>
  <si>
    <t xml:space="preserve">Plano rev23 m11 #11</t>
  </si>
  <si>
    <t xml:space="preserve">Cilindros secos: 3 carros del tramo (pulmón)</t>
  </si>
  <si>
    <t xml:space="preserve">carro porta-bandejas 1,3 × 0,7 m, 3 bandejas 1.200 × 600 a la altura del estante (Parametros B37, B42); sin estante, 3 m² (Pulmones O18:P18)</t>
  </si>
  <si>
    <t xml:space="preserve">Plano rev23 m11 #15; Pulmones fila 18</t>
  </si>
  <si>
    <t xml:space="preserve">Rack de insumos de soldadura y superficie</t>
  </si>
  <si>
    <t xml:space="preserve">alambre, granalla, pintura; 1 mód.</t>
  </si>
  <si>
    <t xml:space="preserve">Plano rev23 m11 #13</t>
  </si>
  <si>
    <t xml:space="preserve">Detección de defectos</t>
  </si>
  <si>
    <t xml:space="preserve">Balanceo, Carga fila 51 (N°, puesto, máquinas, turnos)</t>
  </si>
  <si>
    <t xml:space="preserve">Mesa de inspección + luz</t>
  </si>
  <si>
    <t xml:space="preserve">O</t>
  </si>
  <si>
    <t xml:space="preserve">Plano rev23 m11 #7</t>
  </si>
  <si>
    <t xml:space="preserve">Jaula a corrección</t>
  </si>
  <si>
    <t xml:space="preserve">Plano rev23 m11 #8</t>
  </si>
  <si>
    <t xml:space="preserve">Jaula a re-granallar</t>
  </si>
  <si>
    <t xml:space="preserve">Plano rev23 m11 #9</t>
  </si>
  <si>
    <t xml:space="preserve">Jaula de descarte</t>
  </si>
  <si>
    <t xml:space="preserve">Plano rev23 m11 #10</t>
  </si>
  <si>
    <t xml:space="preserve">Operario detección</t>
  </si>
  <si>
    <t xml:space="preserve">Plano rev23 m11 #12</t>
  </si>
  <si>
    <t xml:space="preserve">Corrección de defectos</t>
  </si>
  <si>
    <t xml:space="preserve">Balanceo, Carga fila 52 (N°, puesto, máquinas, turnos)</t>
  </si>
  <si>
    <t xml:space="preserve">Amoladora + extracción</t>
  </si>
  <si>
    <t xml:space="preserve">Plano rev23 m11 #3</t>
  </si>
  <si>
    <t xml:space="preserve">Riel aéreo cerrado de ≈66 m con un gancho cada 0,6 m: carga a ganchos (SO) → precalentamiento (S) → cabina electrostática (N) → horno de curado a gas con 4 pasadas (centro) → enfriamiento (O) → descarga y tapón (NO) → retorno de ganchos. Estante de granallados de 2 mód. al S, junto a la carga; 2 carros a la salida del horno (el riel no para).</t>
  </si>
  <si>
    <t xml:space="preserve">Plano rev23, sector m18_pintura (rect)</t>
  </si>
  <si>
    <t xml:space="preserve">Pintura en polvo + horno</t>
  </si>
  <si>
    <t xml:space="preserve">Balanceo, Carga fila 53 (N°, puesto, máquinas, turnos)</t>
  </si>
  <si>
    <t xml:space="preserve">Carga a ganchos</t>
  </si>
  <si>
    <t xml:space="preserve">Plano rev23 m18 #5 (texto «CARGA a ganchos»)</t>
  </si>
  <si>
    <t xml:space="preserve">Precalentamiento</t>
  </si>
  <si>
    <t xml:space="preserve">7,4 × 2 m</t>
  </si>
  <si>
    <t xml:space="preserve">Plano rev23 m18 #6 (texto «PRECALENTAMIENTO 7,4 × 2»)</t>
  </si>
  <si>
    <t xml:space="preserve">Cabina electrostática + recuperación</t>
  </si>
  <si>
    <t xml:space="preserve">7 × 2 m</t>
  </si>
  <si>
    <t xml:space="preserve">Plano rev23 m18 #4 (texto «CABINA … 7 × 2»)</t>
  </si>
  <si>
    <t xml:space="preserve">Horno de curado a gas</t>
  </si>
  <si>
    <t xml:space="preserve">centro</t>
  </si>
  <si>
    <t xml:space="preserve">180–220 °C · 15–20 min · 4 pasadas (≈ 25 m de riel)</t>
  </si>
  <si>
    <t xml:space="preserve">Plano rev23 m18 #3 (texto «HORNO DE CURADO»)</t>
  </si>
  <si>
    <t xml:space="preserve">Enfriamiento</t>
  </si>
  <si>
    <t xml:space="preserve">Plano rev23 m18 #2 (texto «enfriamiento»)</t>
  </si>
  <si>
    <t xml:space="preserve">Descarga + tapón</t>
  </si>
  <si>
    <t xml:space="preserve">Plano rev23 m18 #1 (texto «DESCARGA + tapón»)</t>
  </si>
  <si>
    <t xml:space="preserve">Operario de carga</t>
  </si>
  <si>
    <t xml:space="preserve">Plano rev23 m18 #20</t>
  </si>
  <si>
    <t xml:space="preserve">Operario de descarga</t>
  </si>
  <si>
    <t xml:space="preserve">Plano rev23 m18 #21</t>
  </si>
  <si>
    <t xml:space="preserve">Estante de cilindros granallados</t>
  </si>
  <si>
    <t xml:space="preserve">S, junto a la carga</t>
  </si>
  <si>
    <t xml:space="preserve">Plano rev23 m18 #22; Pulmones fila 19 (2 mód.). Alto: Pulmones, Parametros B9 (EST_ALTO)</t>
  </si>
  <si>
    <t xml:space="preserve">Carros a la salida del horno (2: no para)</t>
  </si>
  <si>
    <t xml:space="preserve">Plano rev23 m18 #24; Pulmones S20:S21</t>
  </si>
  <si>
    <t xml:space="preserve">Estación de big bag con polipasto al NO; balanza y operario al S de ella; cargadora Yukon FS-A10 al centro-E. Estantes de pintados para cargar: 1 mód. al N y 3 al E.</t>
  </si>
  <si>
    <t xml:space="preserve">Plano rev23, sector m12_carga_polvo (rect)</t>
  </si>
  <si>
    <t xml:space="preserve">Carga de polvo</t>
  </si>
  <si>
    <t xml:space="preserve">Balanceo, Carga fila 54 (N°, puesto, máquinas, turnos)</t>
  </si>
  <si>
    <t xml:space="preserve">Estación big bag + polipasto</t>
  </si>
  <si>
    <t xml:space="preserve">big bag de 1 t</t>
  </si>
  <si>
    <t xml:space="preserve">Plano rev23 m12 #1</t>
  </si>
  <si>
    <t xml:space="preserve">alto (big bag + polipasto)</t>
  </si>
  <si>
    <t xml:space="preserve">Cargadora Yukon FS-A10</t>
  </si>
  <si>
    <t xml:space="preserve">centro-E, frente S</t>
  </si>
  <si>
    <t xml:space="preserve">Plano rev23 m12 #2</t>
  </si>
  <si>
    <t xml:space="preserve">Balanza</t>
  </si>
  <si>
    <t xml:space="preserve">Plano rev23 m12 #4</t>
  </si>
  <si>
    <t xml:space="preserve">Plano rev23 m12 #5</t>
  </si>
  <si>
    <t xml:space="preserve">Estante de pintados para cargar (E)</t>
  </si>
  <si>
    <t xml:space="preserve">Plano rev23 m12 #6; Pulmones fila 21 (4 mód.). Alto: Pulmones, Parametros B9 (EST_ALTO)</t>
  </si>
  <si>
    <t xml:space="preserve">Estante de pintados para cargar (N)</t>
  </si>
  <si>
    <t xml:space="preserve">Plano rev23 m12 #8; Pulmones fila 21. Alto: Pulmones, Parametros B9 (EST_ALTO)</t>
  </si>
  <si>
    <t xml:space="preserve">Mesa con llave dinamométrica al centro; válvulas y mangueras al O; precintos al N; operario al S. Estante de cargados de polvo de 3 mód. al E, pasante (lo carga el M12). Carro de armados al NO hacia la presurización.</t>
  </si>
  <si>
    <t xml:space="preserve">Plano rev23, sector m13_ensamblaje (rect)</t>
  </si>
  <si>
    <t xml:space="preserve">Ensamblaje</t>
  </si>
  <si>
    <t xml:space="preserve">Balanceo, Carga fila 55 (N°, puesto, máquinas, turnos)</t>
  </si>
  <si>
    <t xml:space="preserve">Mesa + llave dinamométrica</t>
  </si>
  <si>
    <t xml:space="preserve">Plano rev23 m13 #1</t>
  </si>
  <si>
    <t xml:space="preserve">Válvulas y mangueras</t>
  </si>
  <si>
    <t xml:space="preserve">Plano rev23 m13 #2</t>
  </si>
  <si>
    <t xml:space="preserve">Precintos</t>
  </si>
  <si>
    <t xml:space="preserve">Plano rev23 m13 #4</t>
  </si>
  <si>
    <t xml:space="preserve">S de la mesa</t>
  </si>
  <si>
    <t xml:space="preserve">Plano rev23 m13 #3</t>
  </si>
  <si>
    <t xml:space="preserve">Estante pasante de cargados de polvo</t>
  </si>
  <si>
    <t xml:space="preserve">borde E (pasante con M12)</t>
  </si>
  <si>
    <t xml:space="preserve">Plano rev23 m13 #5; Pulmones fila 22 (3 mód.). Alto: Pulmones, Parametros B9 (EST_ALTO)</t>
  </si>
  <si>
    <t xml:space="preserve">Carro de armados → M14</t>
  </si>
  <si>
    <t xml:space="preserve">Plano rev23 m13 #7</t>
  </si>
  <si>
    <t xml:space="preserve">Soporte con pinza Yukon y regulador de N₂ al N; operario al S; estante de armados de 3 mód. contra el borde S.</t>
  </si>
  <si>
    <t xml:space="preserve">Plano rev23, sector m14_presurizacion (rect)</t>
  </si>
  <si>
    <t xml:space="preserve">Presurización</t>
  </si>
  <si>
    <t xml:space="preserve">Balanceo, Carga fila 56 (N°, puesto, máquinas, turnos)</t>
  </si>
  <si>
    <t xml:space="preserve">Soporte + pinza Yukon</t>
  </si>
  <si>
    <t xml:space="preserve">Plano rev23 m14 #1</t>
  </si>
  <si>
    <t xml:space="preserve">Regulador de N₂</t>
  </si>
  <si>
    <t xml:space="preserve">Plano rev23 m14 #2</t>
  </si>
  <si>
    <t xml:space="preserve">Plano rev23 m14 #3</t>
  </si>
  <si>
    <t xml:space="preserve">Estante de armados</t>
  </si>
  <si>
    <t xml:space="preserve">Plano rev23 m14 #4; Pulmones fila 23 (3 mód.). Alto: Pulmones, Parametros B9 (EST_ALTO)</t>
  </si>
  <si>
    <t xml:space="preserve">Tanque de inmersión con rejilla de goteo al O; rechazos y operario al E; estante pasante de presurizados de 1 mód. al S.</t>
  </si>
  <si>
    <t xml:space="preserve">Plano rev23, sector m15_perdidas (rect)</t>
  </si>
  <si>
    <t xml:space="preserve">Control de calidad — Ensayo de pérdidas</t>
  </si>
  <si>
    <t xml:space="preserve">Balanceo, Carga fila 57 (N°, puesto, máquinas, turnos)</t>
  </si>
  <si>
    <t xml:space="preserve">Tanque de inmersión</t>
  </si>
  <si>
    <t xml:space="preserve">6 matafuegos por tanda (Word manuales)</t>
  </si>
  <si>
    <t xml:space="preserve">Plano rev23 m15 #1</t>
  </si>
  <si>
    <t xml:space="preserve">alto y nivel de agua</t>
  </si>
  <si>
    <t xml:space="preserve">Rejilla de goteo</t>
  </si>
  <si>
    <t xml:space="preserve">S del tanque</t>
  </si>
  <si>
    <t xml:space="preserve">Plano rev23 m15 #2</t>
  </si>
  <si>
    <t xml:space="preserve">Rechazos</t>
  </si>
  <si>
    <t xml:space="preserve">Plano rev23 m15 #3</t>
  </si>
  <si>
    <t xml:space="preserve">Plano rev23 m15 #4</t>
  </si>
  <si>
    <t xml:space="preserve">Estante pasante de presurizados</t>
  </si>
  <si>
    <t xml:space="preserve">Plano rev23 m15 #5; Pulmones fila 24 (1 mód.). Alto: Pulmones, Parametros B9 (EST_ALTO)</t>
  </si>
  <si>
    <t xml:space="preserve">Dispensador con posicionador e impresora al N; operario al S; estante pasante de ensayados de 3 mód. al S (lo carga el M15); carro de etiquetados al E hacia el embalaje.</t>
  </si>
  <si>
    <t xml:space="preserve">Plano rev23, sector m16_etiquetado (rect)</t>
  </si>
  <si>
    <t xml:space="preserve">Etiquetado</t>
  </si>
  <si>
    <t xml:space="preserve">Balanceo, Carga fila 58 (N°, puesto, máquinas, turnos)</t>
  </si>
  <si>
    <t xml:space="preserve">Dispensador + posicionador</t>
  </si>
  <si>
    <t xml:space="preserve">guía en V con tope de altura</t>
  </si>
  <si>
    <t xml:space="preserve">Plano rev23 m16 #1</t>
  </si>
  <si>
    <t xml:space="preserve">Impresora de etiquetas</t>
  </si>
  <si>
    <t xml:space="preserve">Plano rev23 m16 #2</t>
  </si>
  <si>
    <t xml:space="preserve">Plano rev23 m16 #3</t>
  </si>
  <si>
    <t xml:space="preserve">Estante pasante de ensayados</t>
  </si>
  <si>
    <t xml:space="preserve">Plano rev23 m16 #4; Pulmones fila 25 (3 mód.). Alto: Pulmones, Parametros B9 (EST_ALTO)</t>
  </si>
  <si>
    <t xml:space="preserve">Carro de etiquetados → M17</t>
  </si>
  <si>
    <t xml:space="preserve">Plano rev23 m16 #6</t>
  </si>
  <si>
    <t xml:space="preserve">Armadora de cajas al O; cajas plegadas y armadas en el piso al E; operario al S.</t>
  </si>
  <si>
    <t xml:space="preserve">Plano rev23, sector m17a_armado_cajas (rect)</t>
  </si>
  <si>
    <t xml:space="preserve">Embalaje y paletizado</t>
  </si>
  <si>
    <t xml:space="preserve">Balanceo, Carga fila 59 (N°, puesto, máquinas, turnos)</t>
  </si>
  <si>
    <t xml:space="preserve">Armadora de cajas</t>
  </si>
  <si>
    <t xml:space="preserve">Plano rev23 m17a #1</t>
  </si>
  <si>
    <t xml:space="preserve">Cajas plegadas (piso)</t>
  </si>
  <si>
    <t xml:space="preserve">E, N</t>
  </si>
  <si>
    <t xml:space="preserve">Plano rev23 m17a #2</t>
  </si>
  <si>
    <t xml:space="preserve">alto de la pila</t>
  </si>
  <si>
    <t xml:space="preserve">Cajas armadas (piso)</t>
  </si>
  <si>
    <t xml:space="preserve">E, S</t>
  </si>
  <si>
    <t xml:space="preserve">Plano rev23 m17a #4</t>
  </si>
  <si>
    <t xml:space="preserve">Plano rev23 m17a #6</t>
  </si>
  <si>
    <t xml:space="preserve">2 mesas de encajonado al O (terminados al N, vacíos al S), cada una con su pallet en armado al E y un operario entre los dos. Envolvedora EDOS PS 5 al E. Al SO el estante de vacíos pintados (2 mód.); al NO los 2 carros de etiquetados (sin estante).</t>
  </si>
  <si>
    <t xml:space="preserve">Plano rev23, sector m17_embalaje (rect)</t>
  </si>
  <si>
    <t xml:space="preserve">Mesa de encajonado terminados</t>
  </si>
  <si>
    <t xml:space="preserve">O, mitad N</t>
  </si>
  <si>
    <t xml:space="preserve">a la altura de trabajo</t>
  </si>
  <si>
    <t xml:space="preserve">Plano rev23 m17 #2</t>
  </si>
  <si>
    <t xml:space="preserve">Mesa de encajonado vacíos</t>
  </si>
  <si>
    <t xml:space="preserve">O, mitad S</t>
  </si>
  <si>
    <t xml:space="preserve">Plano rev23 m17 #1</t>
  </si>
  <si>
    <t xml:space="preserve">Pallet en armado (terminados)</t>
  </si>
  <si>
    <t xml:space="preserve">al E de su mesa</t>
  </si>
  <si>
    <t xml:space="preserve">Plano rev23 m17 #3</t>
  </si>
  <si>
    <t xml:space="preserve">Pallet en armado (vacíos)</t>
  </si>
  <si>
    <t xml:space="preserve">Plano rev23 m17 #5</t>
  </si>
  <si>
    <t xml:space="preserve">Envolvedora EDOS PS 5</t>
  </si>
  <si>
    <t xml:space="preserve">plato Ø 1,6 m en el plano</t>
  </si>
  <si>
    <t xml:space="preserve">Plano rev23 m17 #7</t>
  </si>
  <si>
    <t xml:space="preserve">alto de la torre y plato</t>
  </si>
  <si>
    <t xml:space="preserve">Operario terminados</t>
  </si>
  <si>
    <t xml:space="preserve">entre mesa y pallet</t>
  </si>
  <si>
    <t xml:space="preserve">Plano rev23 m17 #9</t>
  </si>
  <si>
    <t xml:space="preserve">Operario vacíos</t>
  </si>
  <si>
    <t xml:space="preserve">Plano rev23 m17 #10</t>
  </si>
  <si>
    <t xml:space="preserve">Estante de vacíos pintados</t>
  </si>
  <si>
    <t xml:space="preserve">Plano rev23 m17 #11; Pulmones fila 20 (2 mód.). Alto: Pulmones, Parametros B9 (EST_ALTO)</t>
  </si>
  <si>
    <t xml:space="preserve">Etiquetados: 2 carros (pulmón)</t>
  </si>
  <si>
    <t xml:space="preserve">carro porta-bandejas 1,3 × 0,7 m, 3 bandejas 1.200 × 600 a la altura del estante (Parametros B37, B42); sin estante, 2 m² (Pulmones O26:P26)</t>
  </si>
  <si>
    <t xml:space="preserve">Plano rev23 m17 #13; Pulmones fila 26</t>
  </si>
  <si>
    <t xml:space="preserve">Pallets vacíos, cajas plegadas, film y esquineros en el piso; apilador con su cargador; puesto de identificación (precintos → M13, etiquetas → M16).</t>
  </si>
  <si>
    <t xml:space="preserve">Plano rev23, sector m17b_insumos_embalaje (rect)</t>
  </si>
  <si>
    <t xml:space="preserve">Pallets vacíos (piso)</t>
  </si>
  <si>
    <t xml:space="preserve">Plano rev23 m17b #1</t>
  </si>
  <si>
    <t xml:space="preserve">Plano rev23 m17b #3</t>
  </si>
  <si>
    <t xml:space="preserve">Film y esquineros (piso)</t>
  </si>
  <si>
    <t xml:space="preserve">Plano rev23 m17b #5</t>
  </si>
  <si>
    <t xml:space="preserve">Apilador + cargador</t>
  </si>
  <si>
    <t xml:space="preserve">Plano rev23 m17b #9</t>
  </si>
  <si>
    <t xml:space="preserve">Identificación (precintos y etiquetas)</t>
  </si>
  <si>
    <t xml:space="preserve">Plano rev23 m17b #10</t>
  </si>
  <si>
    <t xml:space="preserve">CARROS — dimensiones por puesto (sin almacenes)</t>
  </si>
  <si>
    <t xml:space="preserve">Las piezas de carros salen de la G2 al carro FCEP del lado S (piezas de carros) y van a la marcadora 2. Medidas de las máquinas en la hoja Manuales.</t>
  </si>
  <si>
    <t xml:space="preserve">2</t>
  </si>
  <si>
    <t xml:space="preserve">Corte de chapa (guillotina) — usa la G1 y la G2 de Manuales</t>
  </si>
  <si>
    <t xml:space="preserve">Balanceo, Carga fila 75 (N°, puesto, máquinas, turnos)</t>
  </si>
  <si>
    <t xml:space="preserve">Ver hoja Manuales, área p02_corte</t>
  </si>
  <si>
    <t xml:space="preserve">referencia</t>
  </si>
  <si>
    <t xml:space="preserve">Balanceo §5: «Las dos guillotinas son compartidas por manuales y carros»</t>
  </si>
  <si>
    <t xml:space="preserve">Medidas en la hoja Manuales (puesto 6, área p021_marcado).</t>
  </si>
  <si>
    <t xml:space="preserve">2.1</t>
  </si>
  <si>
    <t xml:space="preserve">Marcado del cuerpo — marcadora 2 (0 máq. propias: suma al puesto 6 de Manuales)</t>
  </si>
  <si>
    <t xml:space="preserve">Balanceo, Carga fila 76 (N°, puesto, máquinas, turnos)</t>
  </si>
  <si>
    <t xml:space="preserve">Ver hoja Manuales, área p021_marcado</t>
  </si>
  <si>
    <t xml:space="preserve">Balanceo, Carga fila 76 (0 máq.)</t>
  </si>
  <si>
    <t xml:space="preserve">Cuerpos planos grabados apilados en el área, entre la marcadora 2 y la cilindradora de carros.</t>
  </si>
  <si>
    <t xml:space="preserve">Plano rev23, sector p_libre_cil (rect)</t>
  </si>
  <si>
    <t xml:space="preserve">Cuerpos planos grabados (pulmón)</t>
  </si>
  <si>
    <t xml:space="preserve">centro del área</t>
  </si>
  <si>
    <t xml:space="preserve">52 cuerpos como máximo, 7,36 m² (Pulmones, Carros H6 y J6)</t>
  </si>
  <si>
    <t xml:space="preserve">Plano rev23 p_libre_cil #1; Pulmones, Carros fila 6</t>
  </si>
  <si>
    <t xml:space="preserve">Pulmones dice «sobre la mesa móvil de la guillotina»; el plano lo pone en el piso del 2.2. Alto de la pila</t>
  </si>
  <si>
    <t xml:space="preserve">Roladora W12 al centro con su zona de carga al N; mesa EFE al N; salida axial con cuna al E; operario al O.</t>
  </si>
  <si>
    <t xml:space="preserve">Plano rev23, sector p03_cilindrado (rect)</t>
  </si>
  <si>
    <t xml:space="preserve">3</t>
  </si>
  <si>
    <t xml:space="preserve">Balanceo, Carga fila 77 (N°, puesto, máquinas, turnos)</t>
  </si>
  <si>
    <t xml:space="preserve">Roladora W12 8 × 1500</t>
  </si>
  <si>
    <t xml:space="preserve">8 mm × 1.500 mm</t>
  </si>
  <si>
    <t xml:space="preserve">Plano rev23 p03 #1</t>
  </si>
  <si>
    <t xml:space="preserve">Zona de carga de la roladora</t>
  </si>
  <si>
    <t xml:space="preserve">N de la roladora</t>
  </si>
  <si>
    <t xml:space="preserve">Plano rev23 p03 #2</t>
  </si>
  <si>
    <t xml:space="preserve">Mesa EFE</t>
  </si>
  <si>
    <t xml:space="preserve">Plano rev23 p03 #3</t>
  </si>
  <si>
    <t xml:space="preserve">Salida axial + cuna</t>
  </si>
  <si>
    <t xml:space="preserve">Plano rev23 p03 #4</t>
  </si>
  <si>
    <t xml:space="preserve">Plano rev23 p03 #5</t>
  </si>
  <si>
    <t xml:space="preserve">Contra la pared de soldaduras. Banco con morsa y pampa al O; virador al centro con el operario al S; cuna al E; virolas en el piso al SO; salida al SE hacia la soldadura longitudinal (sin pulmón).</t>
  </si>
  <si>
    <t xml:space="preserve">Plano rev23, sector p04_punteo (rect)</t>
  </si>
  <si>
    <t xml:space="preserve">4</t>
  </si>
  <si>
    <t xml:space="preserve">Punteo del cuerpo</t>
  </si>
  <si>
    <t xml:space="preserve">Balanceo, Carga fila 78 (N°, puesto, máquinas, turnos)</t>
  </si>
  <si>
    <t xml:space="preserve">Virador</t>
  </si>
  <si>
    <t xml:space="preserve">Plano rev23 p04 #1</t>
  </si>
  <si>
    <t xml:space="preserve">Banco + morsa</t>
  </si>
  <si>
    <t xml:space="preserve">Plano rev23 p04 #4</t>
  </si>
  <si>
    <t xml:space="preserve">Pampa (soldadora)</t>
  </si>
  <si>
    <t xml:space="preserve">Plano rev23 p04 #3</t>
  </si>
  <si>
    <t xml:space="preserve">Cuna</t>
  </si>
  <si>
    <t xml:space="preserve">Plano rev23 p04 #5</t>
  </si>
  <si>
    <t xml:space="preserve">S del virador</t>
  </si>
  <si>
    <t xml:space="preserve">zona del operario 1,2 × 0,6</t>
  </si>
  <si>
    <t xml:space="preserve">Plano rev23 p04 #2</t>
  </si>
  <si>
    <t xml:space="preserve">Virolas (pulmón en piso)</t>
  </si>
  <si>
    <t xml:space="preserve">2 virolas, 0,49 m²; piso demarcado 1,8 × 1,2 m (Pulmones, Carros fila 7)</t>
  </si>
  <si>
    <t xml:space="preserve">Plano rev23 p04 #7; Pulmones, Carros fila 7</t>
  </si>
  <si>
    <t xml:space="preserve">Salida → 5 (sin pulmón)</t>
  </si>
  <si>
    <t xml:space="preserve">la soldadura es más rápida que el punteo</t>
  </si>
  <si>
    <t xml:space="preserve">Plano rev23 p04 #6</t>
  </si>
  <si>
    <t xml:space="preserve">Carga axial al O; soldadora ZH-1300 con su mesa al centro y el operario al S; MIG + chiller al E; cuna al SO; no conforme al SE.</t>
  </si>
  <si>
    <t xml:space="preserve">Plano rev23, sector p05_sold_long (rect)</t>
  </si>
  <si>
    <t xml:space="preserve">5</t>
  </si>
  <si>
    <t xml:space="preserve">Soldadura longitudinal</t>
  </si>
  <si>
    <t xml:space="preserve">Balanceo, Carga fila 79 (N°, puesto, máquinas, turnos)</t>
  </si>
  <si>
    <t xml:space="preserve">Soldadora longitudinal ZH-1300 + mesa</t>
  </si>
  <si>
    <t xml:space="preserve">Plano rev23 p05 #1</t>
  </si>
  <si>
    <t xml:space="preserve">Carga axial</t>
  </si>
  <si>
    <t xml:space="preserve">Plano rev23 p05 #2</t>
  </si>
  <si>
    <t xml:space="preserve">MIG + chiller</t>
  </si>
  <si>
    <t xml:space="preserve">Plano rev23 p05 #5</t>
  </si>
  <si>
    <t xml:space="preserve">Plano rev23 p05 #4</t>
  </si>
  <si>
    <t xml:space="preserve">No conforme</t>
  </si>
  <si>
    <t xml:space="preserve">Plano rev23 p05 #6</t>
  </si>
  <si>
    <t xml:space="preserve">S de la soldadora</t>
  </si>
  <si>
    <t xml:space="preserve">zona del operario 1,3 × 0,6</t>
  </si>
  <si>
    <t xml:space="preserve">Plano rev23 p05 #3</t>
  </si>
  <si>
    <t xml:space="preserve">Carro 1 de cúpulas al O; soldadora Müller al centro con el operario al S; cajón de cuplas y enfriamiento al E; pampa y kits al SO; carro de salida (canasto = pulmón) al SE hacia el armado.</t>
  </si>
  <si>
    <t xml:space="preserve">Plano rev23, sector p06_sold_cupla (rect)</t>
  </si>
  <si>
    <t xml:space="preserve">6</t>
  </si>
  <si>
    <t xml:space="preserve">Soldadura de cupla en la cúpula</t>
  </si>
  <si>
    <t xml:space="preserve">Balanceo, Carga fila 80 (N°, puesto, máquinas, turnos)</t>
  </si>
  <si>
    <t xml:space="preserve">Soldadora Müller</t>
  </si>
  <si>
    <t xml:space="preserve">Plano rev23 p06 #1</t>
  </si>
  <si>
    <t xml:space="preserve">Carro 1 de cúpulas (llega del 8.0)</t>
  </si>
  <si>
    <t xml:space="preserve">Plano rev23 p06 #2</t>
  </si>
  <si>
    <t xml:space="preserve">Cajón de cuplas</t>
  </si>
  <si>
    <t xml:space="preserve">Plano rev23 p06 #3</t>
  </si>
  <si>
    <t xml:space="preserve">Plano rev23 p06 #4</t>
  </si>
  <si>
    <t xml:space="preserve">Plano rev23 p06 #6</t>
  </si>
  <si>
    <t xml:space="preserve">Kits</t>
  </si>
  <si>
    <t xml:space="preserve">Plano rev23 p06 #7</t>
  </si>
  <si>
    <t xml:space="preserve">Plano rev23 p06 #8</t>
  </si>
  <si>
    <t xml:space="preserve">Carro canasto de salida: cúpulas con cupla (pulmón)</t>
  </si>
  <si>
    <t xml:space="preserve">13 cúpulas, 0,66 m²; pulmón y traslado a la vez (Pulmones, Carros fila 9)</t>
  </si>
  <si>
    <t xml:space="preserve">Plano rev23 p06 #5; Pulmones, Carros fila 9</t>
  </si>
  <si>
    <t xml:space="preserve">Al O cúpulas, fondos, cuna y kits; virador al centro con el operario al S y la pampa al SO; cuna y no conforme al E; cuerpos soldados en piso demarcado al NE.</t>
  </si>
  <si>
    <t xml:space="preserve">Plano rev23, sector p07_armado_circ (rect)</t>
  </si>
  <si>
    <t xml:space="preserve">7</t>
  </si>
  <si>
    <t xml:space="preserve">Armado y soldadura circunferencial</t>
  </si>
  <si>
    <t xml:space="preserve">Balanceo, Carga fila 81 (N°, puesto, máquinas, turnos)</t>
  </si>
  <si>
    <t xml:space="preserve">Plano rev23 p07 #5</t>
  </si>
  <si>
    <t xml:space="preserve">Plano rev23 p07 #7</t>
  </si>
  <si>
    <t xml:space="preserve">Cúpulas</t>
  </si>
  <si>
    <t xml:space="preserve">Plano rev23 p07 #1</t>
  </si>
  <si>
    <t xml:space="preserve">Fondos</t>
  </si>
  <si>
    <t xml:space="preserve">Plano rev23 p07 #2</t>
  </si>
  <si>
    <t xml:space="preserve">Cuna (entrada)</t>
  </si>
  <si>
    <t xml:space="preserve">Plano rev23 p07 #3</t>
  </si>
  <si>
    <t xml:space="preserve">Plano rev23 p07 #4</t>
  </si>
  <si>
    <t xml:space="preserve">Cuna (salida)</t>
  </si>
  <si>
    <t xml:space="preserve">Plano rev23 p07 #8</t>
  </si>
  <si>
    <t xml:space="preserve">Plano rev23 p07 #9</t>
  </si>
  <si>
    <t xml:space="preserve">Plano rev23 p07 #6</t>
  </si>
  <si>
    <t xml:space="preserve">Cuerpos soldados (pulmón en piso)</t>
  </si>
  <si>
    <t xml:space="preserve">11 cuerpos, 3,07 m²; piso demarcado; recipientes parados (Ø + 100 mm)² × F_CIRC 1,4 (Pulmones, Carros fila 17; Parametros B46)</t>
  </si>
  <si>
    <t xml:space="preserve">Plano rev23 p07 #10; Pulmones, Carros fila 8</t>
  </si>
  <si>
    <t xml:space="preserve">Cilindro cerrado en piso al NO; virador al centro con el operario al S; tablero al E; ruedas (2) al NE; ejes y salida al E; kits, cuna y pampa al S; juegos provisorios al SE.</t>
  </si>
  <si>
    <t xml:space="preserve">Plano rev23, sector p08_sold_accesorios (rect)</t>
  </si>
  <si>
    <t xml:space="preserve">8</t>
  </si>
  <si>
    <t xml:space="preserve">Soldadura de accesorios — cuello de botella de carros</t>
  </si>
  <si>
    <t xml:space="preserve">Balanceo, Carga fila 82 (N°, puesto, máquinas, turnos)</t>
  </si>
  <si>
    <t xml:space="preserve">Plano rev23 p08 #1</t>
  </si>
  <si>
    <t xml:space="preserve">Tablero</t>
  </si>
  <si>
    <t xml:space="preserve">Plano rev23 p08 #3</t>
  </si>
  <si>
    <t xml:space="preserve">Ruedas (1)</t>
  </si>
  <si>
    <t xml:space="preserve">Plano rev23 p08 #4</t>
  </si>
  <si>
    <t xml:space="preserve">Ruedas (2)</t>
  </si>
  <si>
    <t xml:space="preserve">Plano rev23 p08 #5</t>
  </si>
  <si>
    <t xml:space="preserve">Ejes</t>
  </si>
  <si>
    <t xml:space="preserve">Plano rev23 p08 #6</t>
  </si>
  <si>
    <t xml:space="preserve">Plano rev23 p08 #7</t>
  </si>
  <si>
    <t xml:space="preserve">Plano rev23 p08 #8</t>
  </si>
  <si>
    <t xml:space="preserve">Plano rev23 p08 #9</t>
  </si>
  <si>
    <t xml:space="preserve">Salida</t>
  </si>
  <si>
    <t xml:space="preserve">Plano rev23 p08 #10</t>
  </si>
  <si>
    <t xml:space="preserve">Juegos provisorios</t>
  </si>
  <si>
    <t xml:space="preserve">Plano rev23 p08 #11</t>
  </si>
  <si>
    <t xml:space="preserve">Plano rev23 p08 #2</t>
  </si>
  <si>
    <t xml:space="preserve">Cilindro cerrado (pulmón en piso)</t>
  </si>
  <si>
    <t xml:space="preserve">1 cilindro, 0,25 m²; piso demarcado; recipientes parados (Ø + 100 mm)² × F_CIRC 1,4 (Pulmones, Carros fila 17; Parametros B46)</t>
  </si>
  <si>
    <t xml:space="preserve">Plano rev23 p08 #12; Pulmones, Carros fila 10</t>
  </si>
  <si>
    <t xml:space="preserve">Rack de barras contra el borde S (se carga desde el pasillo) y caballetes con sensitiva delante; al N dobladora, taladro, banco, prensa de 20 t, banco de kits y carros de cajas y de kits; operario al centro.</t>
  </si>
  <si>
    <t xml:space="preserve">Plano rev23, sector p081_fab_accesorios (rect)</t>
  </si>
  <si>
    <t xml:space="preserve">8.1</t>
  </si>
  <si>
    <t xml:space="preserve">Fabricación de accesorios</t>
  </si>
  <si>
    <t xml:space="preserve">Balanceo, Carga fila 83 (N°, puesto, máquinas, turnos)</t>
  </si>
  <si>
    <t xml:space="preserve">Rack de barras</t>
  </si>
  <si>
    <t xml:space="preserve">6,5 × 0,6 m</t>
  </si>
  <si>
    <t xml:space="preserve">Plano rev23 p081 #1</t>
  </si>
  <si>
    <t xml:space="preserve">alto y niveles</t>
  </si>
  <si>
    <t xml:space="preserve">Caballetes + sensitiva</t>
  </si>
  <si>
    <t xml:space="preserve">barras de 6,8 m</t>
  </si>
  <si>
    <t xml:space="preserve">Plano rev23 p081 #2</t>
  </si>
  <si>
    <t xml:space="preserve">Dobladora</t>
  </si>
  <si>
    <t xml:space="preserve">Plano rev23 p081 #3</t>
  </si>
  <si>
    <t xml:space="preserve">Taladro</t>
  </si>
  <si>
    <t xml:space="preserve">Plano rev23 p081 #4</t>
  </si>
  <si>
    <t xml:space="preserve">Banco</t>
  </si>
  <si>
    <t xml:space="preserve">Plano rev23 p081 #5</t>
  </si>
  <si>
    <t xml:space="preserve">Prensa 20 t</t>
  </si>
  <si>
    <t xml:space="preserve">20 t</t>
  </si>
  <si>
    <t xml:space="preserve">Plano rev23 p081 #6</t>
  </si>
  <si>
    <t xml:space="preserve">Banco de kits</t>
  </si>
  <si>
    <t xml:space="preserve">Plano rev23 p081 #7</t>
  </si>
  <si>
    <t xml:space="preserve">Carro de cajas</t>
  </si>
  <si>
    <t xml:space="preserve">Plano rev23 p081 #8</t>
  </si>
  <si>
    <t xml:space="preserve">Carro de kits</t>
  </si>
  <si>
    <t xml:space="preserve">Plano rev23 p081 #9</t>
  </si>
  <si>
    <t xml:space="preserve">Plano rev23 p081 #10</t>
  </si>
  <si>
    <t xml:space="preserve">Estantería de semielaborados de 3 niveles contra el borde E y carro de kits al O.</t>
  </si>
  <si>
    <t xml:space="preserve">Plano rev23, sector p_buffer_semielab (rect)</t>
  </si>
  <si>
    <t xml:space="preserve">Estantería de semielaborados</t>
  </si>
  <si>
    <t xml:space="preserve">3 niveles</t>
  </si>
  <si>
    <t xml:space="preserve">Plano rev23 p_buffer_semielab #1</t>
  </si>
  <si>
    <t xml:space="preserve">Plano rev23 p_buffer_semielab #2</t>
  </si>
  <si>
    <t xml:space="preserve">Los 2 puestos de PH de carros y el carro de carros que se seca están en el bloque de Manuales; se repiten acá para la línea.</t>
  </si>
  <si>
    <t xml:space="preserve">9</t>
  </si>
  <si>
    <t xml:space="preserve">Prueba hidráulica — en el bloque PH + secado de Manuales</t>
  </si>
  <si>
    <t xml:space="preserve">Balanceo, Carga fila 84 (N°, puesto, máquinas, turnos)</t>
  </si>
  <si>
    <t xml:space="preserve">PH carros, puesto 1</t>
  </si>
  <si>
    <t xml:space="preserve">E, frente O</t>
  </si>
  <si>
    <t xml:space="preserve">Plano rev23 m09 #12</t>
  </si>
  <si>
    <t xml:space="preserve">PH carros, puesto 2</t>
  </si>
  <si>
    <t xml:space="preserve">Plano rev23 m09 #13</t>
  </si>
  <si>
    <t xml:space="preserve">Operario PH carros</t>
  </si>
  <si>
    <t xml:space="preserve">O de las PH</t>
  </si>
  <si>
    <t xml:space="preserve">Plano rev23 m09 #19</t>
  </si>
  <si>
    <t xml:space="preserve">10</t>
  </si>
  <si>
    <t xml:space="preserve">Secado — en el bloque PH + secado de Manuales</t>
  </si>
  <si>
    <t xml:space="preserve">Balanceo, Carga fila 85 (N°, puesto, máquinas, turnos)</t>
  </si>
  <si>
    <t xml:space="preserve">Carro de carros que se seca</t>
  </si>
  <si>
    <t xml:space="preserve">Plano rev23 m09 #5</t>
  </si>
  <si>
    <t xml:space="preserve">Pasillo de 1,1 m contra el borde N (portón E1 ↔ 12 ↔ espera). Debajo, 3 filas de lugares con taco para los recipientes que esperan la pintura; al S, 2 filas de 9 carros de manipulación.</t>
  </si>
  <si>
    <t xml:space="preserve">Plano rev23, sector p11_pulmon_despacho (rect)</t>
  </si>
  <si>
    <t xml:space="preserve">11</t>
  </si>
  <si>
    <t xml:space="preserve">Pulmón de despacho y carga a pintura</t>
  </si>
  <si>
    <t xml:space="preserve">Balanceo, Carga fila 86 (N°, puesto, máquinas, turnos)</t>
  </si>
  <si>
    <t xml:space="preserve">Pasillo 1,1 m (portón E1 ↔ 12 ↔ espera)</t>
  </si>
  <si>
    <t xml:space="preserve">ancho 1,1 m</t>
  </si>
  <si>
    <t xml:space="preserve">Plano rev23 p11 #1</t>
  </si>
  <si>
    <t xml:space="preserve">Recipientes esperando la pintura (pulmón)</t>
  </si>
  <si>
    <t xml:space="preserve">centro, 3 filas</t>
  </si>
  <si>
    <t xml:space="preserve">29 recipientes, envío cada 2 días, parados con un taco atrás; 17,71 m² (Pulmones, Carros H11 y J11). Ancho y largo = caja que contiene los tacos del plano</t>
  </si>
  <si>
    <t xml:space="preserve">Plano rev23 p11 #3 a #57 y #97; Pulmones, Carros fila 11</t>
  </si>
  <si>
    <t xml:space="preserve">Carros de manipulación (18, cuna en V 250–420 mm)</t>
  </si>
  <si>
    <t xml:space="preserve">S, 2 filas de 9</t>
  </si>
  <si>
    <t xml:space="preserve">cada carro 0,60 × 0,62 m</t>
  </si>
  <si>
    <t xml:space="preserve">Plano rev23 p11 #59 a #93</t>
  </si>
  <si>
    <t xml:space="preserve">Al N el piso de pintados (el envío entero de la Master), sin ruedas y parados sobre taco; al NE el cierre de cilindros; al S 2 puestos de ruedas nuevas y los rechazos del pintor; operario al E.</t>
  </si>
  <si>
    <t xml:space="preserve">Plano rev23, sector p12_recepcion_pintados (rect)</t>
  </si>
  <si>
    <t xml:space="preserve">12</t>
  </si>
  <si>
    <t xml:space="preserve">Recepción de pintados y cambio de juego</t>
  </si>
  <si>
    <t xml:space="preserve">Balanceo, Carga fila 87 (N°, puesto, máquinas, turnos)</t>
  </si>
  <si>
    <t xml:space="preserve">Carros pintados (pulmón en piso)</t>
  </si>
  <si>
    <t xml:space="preserve">29 carros, 17,71 m², sin ruedas, sobre taco de madera (Pulmones, Carros H13 y J13)</t>
  </si>
  <si>
    <t xml:space="preserve">Plano rev23 p12 #1; Pulmones, Carros fila 13</t>
  </si>
  <si>
    <t xml:space="preserve">Cierre de cilindros</t>
  </si>
  <si>
    <t xml:space="preserve">Plano rev23 p12 #2</t>
  </si>
  <si>
    <t xml:space="preserve">Ruedas nuevas 1</t>
  </si>
  <si>
    <t xml:space="preserve">Plano rev23 p12 #3</t>
  </si>
  <si>
    <t xml:space="preserve">Ruedas nuevas 2</t>
  </si>
  <si>
    <t xml:space="preserve">Plano rev23 p12 #4</t>
  </si>
  <si>
    <t xml:space="preserve">Rechazos del pintor</t>
  </si>
  <si>
    <t xml:space="preserve">Plano rev23 p12 #5</t>
  </si>
  <si>
    <t xml:space="preserve">Plano rev23 p12 #6</t>
  </si>
  <si>
    <t xml:space="preserve">Al NO el bastidor de big bag con polipasto; a lo largo del borde N las estanterías de válvulas y mangas; al S las 3 estaciones: B (balanza + Yukon) al O, A al centro y C al E, cada una con su carro; operario al centro.</t>
  </si>
  <si>
    <t xml:space="preserve">Plano rev23, sector p13_carga_presurizacion (rect)</t>
  </si>
  <si>
    <t xml:space="preserve">13 B</t>
  </si>
  <si>
    <t xml:space="preserve">Carga de polvo y presurización</t>
  </si>
  <si>
    <t xml:space="preserve">Balanceo, Carga fila 88 (N°, puesto, máquinas, turnos)</t>
  </si>
  <si>
    <t xml:space="preserve">Bastidor big bag + polipasto</t>
  </si>
  <si>
    <t xml:space="preserve">Plano rev23 p13 #1</t>
  </si>
  <si>
    <t xml:space="preserve">Estación B: balanza + Yukon</t>
  </si>
  <si>
    <t xml:space="preserve">Plano rev23 p13 #3</t>
  </si>
  <si>
    <t xml:space="preserve">Plano rev23 p13 #6</t>
  </si>
  <si>
    <t xml:space="preserve">13 A-C / 15</t>
  </si>
  <si>
    <t xml:space="preserve">Montaje, manga, precinto y etiquetado</t>
  </si>
  <si>
    <t xml:space="preserve">Balanceo, Carga fila 89 (N°, puesto, máquinas, turnos)</t>
  </si>
  <si>
    <t xml:space="preserve">Estanterías de válvulas y mangas</t>
  </si>
  <si>
    <t xml:space="preserve">Plano rev23 p13 #2</t>
  </si>
  <si>
    <t xml:space="preserve">Estación A + carro</t>
  </si>
  <si>
    <t xml:space="preserve">S, centro</t>
  </si>
  <si>
    <t xml:space="preserve">Plano rev23 p13 #4</t>
  </si>
  <si>
    <t xml:space="preserve">Estación C + carro</t>
  </si>
  <si>
    <t xml:space="preserve">Plano rev23 p13 #5</t>
  </si>
  <si>
    <t xml:space="preserve">Batería de N₂ en jaula al O, con cañería a 13; pack de recambio al E, que se cambia desde el pasillo este.</t>
  </si>
  <si>
    <t xml:space="preserve">Plano rev23, sector p13b_polvo_n2 (rect)</t>
  </si>
  <si>
    <t xml:space="preserve">Batería de N₂ (jaula) → cañería a 13</t>
  </si>
  <si>
    <t xml:space="preserve">Plano rev23 p13b #1</t>
  </si>
  <si>
    <t xml:space="preserve">alto de la jaula</t>
  </si>
  <si>
    <t xml:space="preserve">Pack de N₂ de recambio</t>
  </si>
  <si>
    <t xml:space="preserve">E, desde el pasillo este</t>
  </si>
  <si>
    <t xml:space="preserve">Plano rev23 p13b #2</t>
  </si>
  <si>
    <t xml:space="preserve">Estantería A al O (manuales) y estantería B al E (carros), con un paso de 1,45 m entre las dos.</t>
  </si>
  <si>
    <t xml:space="preserve">Plano rev23, sector p14x_insumos_manuales (rect)</t>
  </si>
  <si>
    <t xml:space="preserve">Estantería A: 4 col. × 4 niv. = 16 pos. (manuales → M13)</t>
  </si>
  <si>
    <t xml:space="preserve">válvulas, manómetros, mangueras, soportes; 1 semana pico</t>
  </si>
  <si>
    <t xml:space="preserve">Plano rev23 p14x #2</t>
  </si>
  <si>
    <t xml:space="preserve">Estantería B: 8 pos. (carros → 13 y ruedas → 12)</t>
  </si>
  <si>
    <t xml:space="preserve">válvulas, manómetros, mangas, lanzas, ruedas</t>
  </si>
  <si>
    <t xml:space="preserve">Plano rev23 p14x #4</t>
  </si>
  <si>
    <t xml:space="preserve">Paso 1,45 m</t>
  </si>
  <si>
    <t xml:space="preserve">ancho 1,45 m</t>
  </si>
  <si>
    <t xml:space="preserve">Plano rev23 p14x #1</t>
  </si>
  <si>
    <t xml:space="preserve">Al O carro de entrada, mesa y carro hacia PT, operario al S de la mesa; paso de 1,45 m; al E remitos, etiquetas y placas de PT y no conforme.</t>
  </si>
  <si>
    <t xml:space="preserve">Plano rev23, sector p15_etiquetado (rect)</t>
  </si>
  <si>
    <t xml:space="preserve">Mesa de etiquetado</t>
  </si>
  <si>
    <t xml:space="preserve">Plano rev23 p15 #2</t>
  </si>
  <si>
    <t xml:space="preserve">Carro de entrada</t>
  </si>
  <si>
    <t xml:space="preserve">Plano rev23 p15 #3</t>
  </si>
  <si>
    <t xml:space="preserve">Carro → PT</t>
  </si>
  <si>
    <t xml:space="preserve">extremo O</t>
  </si>
  <si>
    <t xml:space="preserve">Plano rev23 p15 #1</t>
  </si>
  <si>
    <t xml:space="preserve">Plano rev23 p15 #4</t>
  </si>
  <si>
    <t xml:space="preserve">Paso</t>
  </si>
  <si>
    <t xml:space="preserve">Plano rev23 p15 #5</t>
  </si>
  <si>
    <t xml:space="preserve">14-17</t>
  </si>
  <si>
    <t xml:space="preserve">Calidad: pérdidas, inspección final, liberación y ensayos de lote</t>
  </si>
  <si>
    <t xml:space="preserve">Balanceo, Carga fila 90 (N°, puesto, máquinas, turnos)</t>
  </si>
  <si>
    <t xml:space="preserve">Remitos, etiquetas y placas de PT</t>
  </si>
  <si>
    <t xml:space="preserve">Plano rev23 p15 #6</t>
  </si>
  <si>
    <t xml:space="preserve">Plano rev23 p15 #7</t>
  </si>
  <si>
    <t xml:space="preserve">Mesa de medición y percha de mangas al O; balanza al centro; al S la espera de la muestra y la descarga a tambor de 200 l con filtro; operario al N.</t>
  </si>
  <si>
    <t xml:space="preserve">Plano rev23, sector p17_ensayos_lote (rect)</t>
  </si>
  <si>
    <t xml:space="preserve">Mesa de medición</t>
  </si>
  <si>
    <t xml:space="preserve">Plano rev23 p17 #1</t>
  </si>
  <si>
    <t xml:space="preserve">Plano rev23 p17 #2</t>
  </si>
  <si>
    <t xml:space="preserve">Percha de mangas</t>
  </si>
  <si>
    <t xml:space="preserve">Plano rev23 p17 #3</t>
  </si>
  <si>
    <t xml:space="preserve">Espera de la muestra (5)</t>
  </si>
  <si>
    <t xml:space="preserve">5 carros de la muestra</t>
  </si>
  <si>
    <t xml:space="preserve">Plano rev23 p17 #4</t>
  </si>
  <si>
    <t xml:space="preserve">Descarga a tambor 200 l + filtro</t>
  </si>
  <si>
    <t xml:space="preserve">tambor de 200 l (tiempo y %)</t>
  </si>
  <si>
    <t xml:space="preserve">Plano rev23 p17 #5</t>
  </si>
  <si>
    <t xml:space="preserve">Operario (técnico de calidad)</t>
  </si>
  <si>
    <t xml:space="preserve">Plano rev23 p17 #6</t>
  </si>
  <si>
    <t xml:space="preserve">Sala del ensayo de pérdidas (7 días a 20 °C)</t>
  </si>
  <si>
    <t xml:space="preserve">falta en el plano</t>
  </si>
  <si>
    <t xml:space="preserve">Word de carros: sala de paneles de 5,0 × 5,0 m, alto 2,5 m, 30 lugares numerados de 0,5 m², al lado del 13</t>
  </si>
  <si>
    <t xml:space="preserve">Word de carros, puesto 14 (lógica)</t>
  </si>
  <si>
    <t xml:space="preserve">no está dibujada en el plano rev23: definir dónde va y su tamaño con el plan (Balanceo agrupa 14-17)</t>
  </si>
  <si>
    <t xml:space="preserve">PC con escáner e impresora al N, operario al S; mesa de habilitación de lotes al S; archivo de registros (6 años) contra el borde E.</t>
  </si>
  <si>
    <t xml:space="preserve">Plano rev23, sector exp_trazabilidad (rect)</t>
  </si>
  <si>
    <t xml:space="preserve">PC + escáner + impresora</t>
  </si>
  <si>
    <t xml:space="preserve">Plano rev23 exp_trazabilidad #1</t>
  </si>
  <si>
    <t xml:space="preserve">Mesa de habilitación de lotes</t>
  </si>
  <si>
    <t xml:space="preserve">Plano rev23 exp_trazabilidad #4</t>
  </si>
  <si>
    <t xml:space="preserve">Archivo de registros (6 años)</t>
  </si>
  <si>
    <t xml:space="preserve">Plano rev23 exp_trazabilidad #5</t>
  </si>
  <si>
    <t xml:space="preserve">Plano rev23 exp_trazabilidad #2</t>
  </si>
  <si>
    <t xml:space="preserve">RECARGAS — dimensiones por puesto (sin almacenes)</t>
  </si>
  <si>
    <t xml:space="preserve">Jaula en registro al O; los 2 operarios al centro con una tablet cada uno al E.</t>
  </si>
  <si>
    <t xml:space="preserve">Plano rev23, sector rec_R1 (rect)</t>
  </si>
  <si>
    <t xml:space="preserve">Recepción y registro</t>
  </si>
  <si>
    <t xml:space="preserve">37.6 equipos en el puesto (Little) → 2 jaula(s), 4.8 m² (Balanceo, Carga L104:N104)</t>
  </si>
  <si>
    <t xml:space="preserve">Balanceo, Carga fila 104 (N°, puesto, máquinas, turnos; jaulas y m² en columnas L a N)</t>
  </si>
  <si>
    <t xml:space="preserve">Jaula en registro</t>
  </si>
  <si>
    <t xml:space="preserve">jaula metálica paletizable 1.200 × 1.000 mm (Word de recargas, lógica); 28 equipos por jaula y 2,4 m² por jaula con pasillo (Balanceo, Carga A131)</t>
  </si>
  <si>
    <t xml:space="preserve">Plano rev23 rec_R1 #1</t>
  </si>
  <si>
    <t xml:space="preserve">plano 1,05 × 0,75 m vs jaula de 1,2 × 1,0 m del Word; alto de la jaula</t>
  </si>
  <si>
    <t xml:space="preserve">Tablet 1</t>
  </si>
  <si>
    <t xml:space="preserve">tablet + impresora portátil de etiquetas</t>
  </si>
  <si>
    <t xml:space="preserve">Plano rev23 rec_R1 #4</t>
  </si>
  <si>
    <t xml:space="preserve">Tablet 2</t>
  </si>
  <si>
    <t xml:space="preserve">Plano rev23 rec_R1 #5</t>
  </si>
  <si>
    <t xml:space="preserve">Plano rev23 rec_R1 #2</t>
  </si>
  <si>
    <t xml:space="preserve">Plano rev23 rec_R1 #3</t>
  </si>
  <si>
    <t xml:space="preserve">Al O las 3 cajas de destino (apto, PH, rechazo); 2 mesas de goma al E con un operario cada una.</t>
  </si>
  <si>
    <t xml:space="preserve">Plano rev23, sector rec_R2 (rect)</t>
  </si>
  <si>
    <t xml:space="preserve">Inspección visual</t>
  </si>
  <si>
    <t xml:space="preserve">18.9 equipos en el puesto (Little) → 1 jaula(s), 2.4 m² (Balanceo, Carga L105:N105)</t>
  </si>
  <si>
    <t xml:space="preserve">Balanceo, Carga fila 105 (N°, puesto, máquinas, turnos; jaulas y m² en columnas L a N)</t>
  </si>
  <si>
    <t xml:space="preserve">la jaula del puesto no está dibujada en el área</t>
  </si>
  <si>
    <t xml:space="preserve">Mesa de goma 1</t>
  </si>
  <si>
    <t xml:space="preserve">Plano rev23 rec_R2 #4</t>
  </si>
  <si>
    <t xml:space="preserve">Mesa de goma 2</t>
  </si>
  <si>
    <t xml:space="preserve">Plano rev23 rec_R2 #5</t>
  </si>
  <si>
    <t xml:space="preserve">Destino: apto</t>
  </si>
  <si>
    <t xml:space="preserve">Plano rev23 rec_R2 #1</t>
  </si>
  <si>
    <t xml:space="preserve">Destino: PH</t>
  </si>
  <si>
    <t xml:space="preserve">Plano rev23 rec_R2 #2</t>
  </si>
  <si>
    <t xml:space="preserve">Destino: rechazo</t>
  </si>
  <si>
    <t xml:space="preserve">Plano rev23 rec_R2 #3</t>
  </si>
  <si>
    <t xml:space="preserve">Plano rev23 rec_R2 #6</t>
  </si>
  <si>
    <t xml:space="preserve">Plano rev23 rec_R2 #7</t>
  </si>
  <si>
    <t xml:space="preserve">Máquina neumática Yukon al O, operario al E.</t>
  </si>
  <si>
    <t xml:space="preserve">Plano rev23, sector rec_R3 (rect)</t>
  </si>
  <si>
    <t xml:space="preserve">Descarga ABC — ruta recuperable (recinto)</t>
  </si>
  <si>
    <t xml:space="preserve">14.6 equipos en el puesto (Little) → 1 jaula(s), 2.4 m² (Balanceo, Carga L106:N106)</t>
  </si>
  <si>
    <t xml:space="preserve">Balanceo, Carga fila 106 (N°, puesto, máquinas, turnos; jaulas y m² en columnas L a N)</t>
  </si>
  <si>
    <t xml:space="preserve">Máquina neumática de descarga Yukon 240 kg</t>
  </si>
  <si>
    <t xml:space="preserve">Plano rev23 rec_R3 #1</t>
  </si>
  <si>
    <t xml:space="preserve">Plano rev23 rec_R3 #2</t>
  </si>
  <si>
    <t xml:space="preserve">Operario al N; tambores de ABC y BC al S.</t>
  </si>
  <si>
    <t xml:space="preserve">Plano rev23, sector rec_R4d (rect)</t>
  </si>
  <si>
    <t xml:space="preserve">Descarga a descarte (ABC, BC y Clase D) (recinto)</t>
  </si>
  <si>
    <t xml:space="preserve">3.3 equipos en el puesto (Little) → 1 jaula(s), 2.4 m² (Balanceo, Carga L107:N107)</t>
  </si>
  <si>
    <t xml:space="preserve">Balanceo, Carga fila 107 (N°, puesto, máquinas, turnos; jaulas y m² en columnas L a N)</t>
  </si>
  <si>
    <t xml:space="preserve">Tambor ABC</t>
  </si>
  <si>
    <t xml:space="preserve">Ø 0,6 m en planta</t>
  </si>
  <si>
    <t xml:space="preserve">Plano rev23 rec_R4d #2</t>
  </si>
  <si>
    <t xml:space="preserve">Tambor BC</t>
  </si>
  <si>
    <t xml:space="preserve">Plano rev23 rec_R4d #4</t>
  </si>
  <si>
    <t xml:space="preserve">Plano rev23 rec_R4d #1</t>
  </si>
  <si>
    <t xml:space="preserve">Estación de big bag de 1 m³ sobre pallet al O, operario al E.</t>
  </si>
  <si>
    <t xml:space="preserve">Plano rev23, sector rec_R4bb (rect)</t>
  </si>
  <si>
    <t xml:space="preserve">Estación big bag 1 m³ (sobre pallet)</t>
  </si>
  <si>
    <t xml:space="preserve">1 m³</t>
  </si>
  <si>
    <t xml:space="preserve">Plano rev23 rec_R4bb #1</t>
  </si>
  <si>
    <t xml:space="preserve">Plano rev23 rec_R4bb #2</t>
  </si>
  <si>
    <t xml:space="preserve">IBC de residuos de AFFF y de clase K al E; premezcla al 3 % al centro; bomba y balanza al O; agente K y bomba manual con balanza de plataforma al S; tanque de agua de 600 l al SE; operario al centro.</t>
  </si>
  <si>
    <t xml:space="preserve">Plano rev23, sector rec_R5 (rect)</t>
  </si>
  <si>
    <t xml:space="preserve">Descarga y carga de agua / AFFF / sales K</t>
  </si>
  <si>
    <t xml:space="preserve">1.5 equipos en el puesto (Little) → 1 jaula(s), 2.4 m² (Balanceo, Carga L108:N108)</t>
  </si>
  <si>
    <t xml:space="preserve">Balanceo, Carga fila 108 (N°, puesto, máquinas, turnos; jaulas y m² en columnas L a N)</t>
  </si>
  <si>
    <t xml:space="preserve">IBC 1.000 l AFFF residual</t>
  </si>
  <si>
    <t xml:space="preserve">1.000 l</t>
  </si>
  <si>
    <t xml:space="preserve">Plano rev23 rec_R5 #1</t>
  </si>
  <si>
    <t xml:space="preserve">IBC 1.000 l clase K residual</t>
  </si>
  <si>
    <t xml:space="preserve">Plano rev23 rec_R5 #2</t>
  </si>
  <si>
    <t xml:space="preserve">Premezcla 3 %</t>
  </si>
  <si>
    <t xml:space="preserve">Ø 0,7 m en planta</t>
  </si>
  <si>
    <t xml:space="preserve">Plano rev23 rec_R5 #3</t>
  </si>
  <si>
    <t xml:space="preserve">alto y volumen</t>
  </si>
  <si>
    <t xml:space="preserve">Agente K</t>
  </si>
  <si>
    <t xml:space="preserve">Ø 0,56 m en planta</t>
  </si>
  <si>
    <t xml:space="preserve">Plano rev23 rec_R5 #8</t>
  </si>
  <si>
    <t xml:space="preserve">Tanque de agua 600 l</t>
  </si>
  <si>
    <t xml:space="preserve">600 l, Ø 0,8 m en planta</t>
  </si>
  <si>
    <t xml:space="preserve">Plano rev23 rec_R5 #10</t>
  </si>
  <si>
    <t xml:space="preserve">Bomba</t>
  </si>
  <si>
    <t xml:space="preserve">Plano rev23 rec_R5 #5</t>
  </si>
  <si>
    <t xml:space="preserve">Plano rev23 rec_R5 #6</t>
  </si>
  <si>
    <t xml:space="preserve">Bomba manual</t>
  </si>
  <si>
    <t xml:space="preserve">Plano rev23 rec_R5 #12</t>
  </si>
  <si>
    <t xml:space="preserve">Balanza de plataforma</t>
  </si>
  <si>
    <t xml:space="preserve">Plano rev23 rec_R5 #13</t>
  </si>
  <si>
    <t xml:space="preserve">Plano rev23 rec_R5 #7</t>
  </si>
  <si>
    <t xml:space="preserve">Al N 4 lugares de cilindros (3 S y 1 R); al S la trasvasadora y la morsa con balanza; operario al E.</t>
  </si>
  <si>
    <t xml:space="preserve">Plano rev23, sector rec_R6 (rect)</t>
  </si>
  <si>
    <t xml:space="preserve">Recuperación y carga de CO₂</t>
  </si>
  <si>
    <t xml:space="preserve">1.4 equipos en el puesto (Little) → 1 jaula(s), 2.4 m² (Balanceo, Carga L109:N109)</t>
  </si>
  <si>
    <t xml:space="preserve">Balanceo, Carga fila 109 (N°, puesto, máquinas, turnos; jaulas y m² en columnas L a N)</t>
  </si>
  <si>
    <t xml:space="preserve">Trasvasadora 103/D1</t>
  </si>
  <si>
    <t xml:space="preserve">Plano rev23 rec_R6 #9</t>
  </si>
  <si>
    <t xml:space="preserve">Morsa + balanza</t>
  </si>
  <si>
    <t xml:space="preserve">Plano rev23 rec_R6 #10</t>
  </si>
  <si>
    <t xml:space="preserve">Cilindros S (3) y R (1)</t>
  </si>
  <si>
    <t xml:space="preserve">4 lugares de Ø 0,3 m</t>
  </si>
  <si>
    <t xml:space="preserve">Plano rev23 rec_R6 #1 a #7</t>
  </si>
  <si>
    <t xml:space="preserve">Plano rev23 rec_R6 #11</t>
  </si>
  <si>
    <t xml:space="preserve">Al O 3 lugares de cilindros (R, A, C); al E la recuperadora SHN-5 y la THB/BP con pinza; operario al centro.</t>
  </si>
  <si>
    <t xml:space="preserve">Plano rev23, sector rec_R7 (rect)</t>
  </si>
  <si>
    <t xml:space="preserve">Recuperación y carga de halogenado</t>
  </si>
  <si>
    <t xml:space="preserve">0.1 equipos en el puesto (Little) → 1 jaula(s), 2.4 m² (Balanceo, Carga L110:N110)</t>
  </si>
  <si>
    <t xml:space="preserve">Balanceo, Carga fila 110 (N°, puesto, máquinas, turnos; jaulas y m² en columnas L a N)</t>
  </si>
  <si>
    <t xml:space="preserve">Recuperadora SHN-5</t>
  </si>
  <si>
    <t xml:space="preserve">Plano rev23 rec_R7 #1</t>
  </si>
  <si>
    <t xml:space="preserve">THB/BP + pinza</t>
  </si>
  <si>
    <t xml:space="preserve">Plano rev23 rec_R7 #2</t>
  </si>
  <si>
    <t xml:space="preserve">Cilindros R, A y C</t>
  </si>
  <si>
    <t xml:space="preserve">3 lugares de Ø 0,3 m</t>
  </si>
  <si>
    <t xml:space="preserve">Plano rev23 rec_R7 #3 a #7</t>
  </si>
  <si>
    <t xml:space="preserve">Plano rev23 rec_R7 #9</t>
  </si>
  <si>
    <t xml:space="preserve">2 mesas de desarme al E con un operario cada una al O; pasaplatos P2 en la pared E.</t>
  </si>
  <si>
    <t xml:space="preserve">Plano rev23, sector rec_R8 (rect)</t>
  </si>
  <si>
    <t xml:space="preserve">Desarme y limpieza — recinto</t>
  </si>
  <si>
    <t xml:space="preserve">17.2 equipos en el puesto (Little) → 1 jaula(s), 2.4 m² (Balanceo, Carga L111:N111)</t>
  </si>
  <si>
    <t xml:space="preserve">Balanceo, Carga fila 111 (N°, puesto, máquinas, turnos; jaulas y m² en columnas L a N)</t>
  </si>
  <si>
    <t xml:space="preserve">Mesa de desarme 1</t>
  </si>
  <si>
    <t xml:space="preserve">Plano rev23 rec_R8 #1</t>
  </si>
  <si>
    <t xml:space="preserve">Mesa de desarme 2</t>
  </si>
  <si>
    <t xml:space="preserve">Plano rev23 rec_R8 #2</t>
  </si>
  <si>
    <t xml:space="preserve">Pasaplatos P2</t>
  </si>
  <si>
    <t xml:space="preserve">pared E</t>
  </si>
  <si>
    <t xml:space="preserve">ventana de paso del recinto (Word de recargas)</t>
  </si>
  <si>
    <t xml:space="preserve">Plano rev23 rec_R8 #5</t>
  </si>
  <si>
    <t xml:space="preserve">alto y altura de la ventana</t>
  </si>
  <si>
    <t xml:space="preserve">Plano rev23 rec_R8 #3</t>
  </si>
  <si>
    <t xml:space="preserve">Plano rev23 rec_R8 #4</t>
  </si>
  <si>
    <t xml:space="preserve">Mesa con morsa y boroscopio al E; bandejas y enjuague al S; operario al centro.</t>
  </si>
  <si>
    <t xml:space="preserve">Plano rev23, sector rec_R9 (rect)</t>
  </si>
  <si>
    <t xml:space="preserve">Desarme e inspección interior — zona general</t>
  </si>
  <si>
    <t xml:space="preserve">2.2 equipos en el puesto (Little) → 1 jaula(s), 2.4 m² (Balanceo, Carga L112:N112)</t>
  </si>
  <si>
    <t xml:space="preserve">Balanceo, Carga fila 112 (N°, puesto, máquinas, turnos; jaulas y m² en columnas L a N)</t>
  </si>
  <si>
    <t xml:space="preserve">Mesa + morsa + boroscopio</t>
  </si>
  <si>
    <t xml:space="preserve">Plano rev23 rec_R9 #1</t>
  </si>
  <si>
    <t xml:space="preserve">Bandejas</t>
  </si>
  <si>
    <t xml:space="preserve">Plano rev23 rec_R9 #2</t>
  </si>
  <si>
    <t xml:space="preserve">Enjuague</t>
  </si>
  <si>
    <t xml:space="preserve">Plano rev23 rec_R9 #3</t>
  </si>
  <si>
    <t xml:space="preserve">Plano rev23 rec_R9 #4</t>
  </si>
  <si>
    <t xml:space="preserve">Muestras al N; mufla y Puffer sobre la mesada del O; mesada con balanza de 0,1 g al E; estantería de contramuestras contra el borde S; operario al centro.</t>
  </si>
  <si>
    <t xml:space="preserve">Plano rev23, sector rec_R10 (rect)</t>
  </si>
  <si>
    <t xml:space="preserve">Laboratorio — Puffer y mufla</t>
  </si>
  <si>
    <t xml:space="preserve">0.9 equipos en el puesto (Little) → 1 jaula(s), 2.4 m² (Balanceo, Carga L113:N113)</t>
  </si>
  <si>
    <t xml:space="preserve">Balanceo, Carga fila 113 (N°, puesto, máquinas, turnos; jaulas y m² en columnas L a N)</t>
  </si>
  <si>
    <t xml:space="preserve">Mufla</t>
  </si>
  <si>
    <t xml:space="preserve">Plano rev23 rec_R10 #4</t>
  </si>
  <si>
    <t xml:space="preserve">Puffer</t>
  </si>
  <si>
    <t xml:space="preserve">Plano rev23 rec_R10 #5</t>
  </si>
  <si>
    <t xml:space="preserve">Mesada (bajo mufla y Puffer)</t>
  </si>
  <si>
    <t xml:space="preserve">Plano rev23 rec_R10 #3</t>
  </si>
  <si>
    <t xml:space="preserve">Mesada + balanza 0,1 g</t>
  </si>
  <si>
    <t xml:space="preserve">balanza de 0,1 g</t>
  </si>
  <si>
    <t xml:space="preserve">Plano rev23 rec_R10 #6</t>
  </si>
  <si>
    <t xml:space="preserve">Muestras</t>
  </si>
  <si>
    <t xml:space="preserve">Plano rev23 rec_R10 #1</t>
  </si>
  <si>
    <t xml:space="preserve">Estantería de contramuestras</t>
  </si>
  <si>
    <t xml:space="preserve">Plano rev23 rec_R10 #7</t>
  </si>
  <si>
    <t xml:space="preserve">Plano rev23 rec_R10 #2</t>
  </si>
  <si>
    <t xml:space="preserve">PH Yukon con su jaula de protección al O y la PH de mangueras (R23) al N de ella; tanque pulmón de 100 l al E; operario al E.</t>
  </si>
  <si>
    <t xml:space="preserve">Plano rev23, sector rec_R11 (rect)</t>
  </si>
  <si>
    <t xml:space="preserve">5.5 equipos en el puesto (Little) → 1 jaula(s), 2.4 m² (Balanceo, Carga L114:N114)</t>
  </si>
  <si>
    <t xml:space="preserve">Balanceo, Carga fila 114 (N°, puesto, máquinas, turnos; jaulas y m² en columnas L a N)</t>
  </si>
  <si>
    <t xml:space="preserve">PH Yukon 300 kg/cm²</t>
  </si>
  <si>
    <t xml:space="preserve">mesa, unidad FR-L, jaula de protección; circuito cerrado con tanque de 100 l (Word de recargas, PH)</t>
  </si>
  <si>
    <t xml:space="preserve">Plano rev23 rec_R11 #2</t>
  </si>
  <si>
    <t xml:space="preserve">Tanque pulmón 100 l</t>
  </si>
  <si>
    <t xml:space="preserve">100 l, Ø 0,54 m en planta</t>
  </si>
  <si>
    <t xml:space="preserve">Plano rev23 rec_R11 #3</t>
  </si>
  <si>
    <t xml:space="preserve">Plano rev23 rec_R11 #5</t>
  </si>
  <si>
    <t xml:space="preserve">PH de mangueras (CO₂ y rodantes)</t>
  </si>
  <si>
    <t xml:space="preserve">1.1 equipos en el puesto (Little) → 1 jaula(s), 2.4 m² (Balanceo, Carga L126:N126)</t>
  </si>
  <si>
    <t xml:space="preserve">Balanceo, Carga fila 126 (N°, puesto, máquinas, turnos; jaulas y m² en columnas L a N)</t>
  </si>
  <si>
    <t xml:space="preserve">PH de mangueras (R23)</t>
  </si>
  <si>
    <t xml:space="preserve">Plano rev23 rec_R11 #1</t>
  </si>
  <si>
    <t xml:space="preserve">Secadora de 6 recipientes al O; mesa en V con videoscopio al centro; operario al E.</t>
  </si>
  <si>
    <t xml:space="preserve">Plano rev23, sector rec_R12 (rect)</t>
  </si>
  <si>
    <t xml:space="preserve">5.0 equipos en el puesto (Little) → 1 jaula(s), 2.4 m² (Balanceo, Carga L115:N115)</t>
  </si>
  <si>
    <t xml:space="preserve">Balanceo, Carga fila 115 (N°, puesto, máquinas, turnos; jaulas y m² en columnas L a N)</t>
  </si>
  <si>
    <t xml:space="preserve">Secadora 6 recipientes</t>
  </si>
  <si>
    <t xml:space="preserve">6 recipientes</t>
  </si>
  <si>
    <t xml:space="preserve">Plano rev23 rec_R12 #1</t>
  </si>
  <si>
    <t xml:space="preserve">Plano rev23 rec_R12 #3</t>
  </si>
  <si>
    <t xml:space="preserve">Inspección interior con videoscopio</t>
  </si>
  <si>
    <t xml:space="preserve">9.4 equipos en el puesto (Little) → 1 jaula(s), 2.4 m² (Balanceo, Carga L116:N116)</t>
  </si>
  <si>
    <t xml:space="preserve">Balanceo, Carga fila 116 (N°, puesto, máquinas, turnos; jaulas y m² en columnas L a N)</t>
  </si>
  <si>
    <t xml:space="preserve">Mesa en V + videoscopio</t>
  </si>
  <si>
    <t xml:space="preserve">Plano rev23 rec_R12 #2</t>
  </si>
  <si>
    <t xml:space="preserve">Cabina con HVLP e IR y amoladora; 2 giratorios al O con un operario cada uno al E.</t>
  </si>
  <si>
    <t xml:space="preserve">Plano rev23, sector rec_R14 (rect)</t>
  </si>
  <si>
    <t xml:space="preserve">Pintura (recinto)</t>
  </si>
  <si>
    <t xml:space="preserve">3.6 equipos en el puesto (Little) → 1 jaula(s), 2.4 m² (Balanceo, Carga L117:N117)</t>
  </si>
  <si>
    <t xml:space="preserve">Balanceo, Carga fila 117 (N°, puesto, máquinas, turnos; jaulas y m² en columnas L a N)</t>
  </si>
  <si>
    <t xml:space="preserve">Giratorio 1</t>
  </si>
  <si>
    <t xml:space="preserve">Ø 0,54 m en planta</t>
  </si>
  <si>
    <t xml:space="preserve">Plano rev23 rec_R14 #2</t>
  </si>
  <si>
    <t xml:space="preserve">Giratorio 2</t>
  </si>
  <si>
    <t xml:space="preserve">Plano rev23 rec_R14 #4</t>
  </si>
  <si>
    <t xml:space="preserve">Plano rev23 rec_R14 #6</t>
  </si>
  <si>
    <t xml:space="preserve">Plano rev23 rec_R14 #7</t>
  </si>
  <si>
    <t xml:space="preserve">Cabina de pintura (HVLP + IR) y amoladora</t>
  </si>
  <si>
    <t xml:space="preserve">texto del plano «R14 ×2. PINTURA cabina · HVLP + IR amoladora»</t>
  </si>
  <si>
    <t xml:space="preserve">Plano rev23 rec_R14 (texto)</t>
  </si>
  <si>
    <t xml:space="preserve">la cabina, el IR y la amoladora no tienen rectángulo propio: medidas a definir</t>
  </si>
  <si>
    <t xml:space="preserve">2 cargadoras Yukon al centro con un operario cada una al O; balanza y portátil BC al N; pasaplatos P3 en la pared E.</t>
  </si>
  <si>
    <t xml:space="preserve">Plano rev23, sector rec_R15 (rect)</t>
  </si>
  <si>
    <t xml:space="preserve">Carga de polvo ABC, BC y Clase D (recinto)</t>
  </si>
  <si>
    <t xml:space="preserve">17.2 equipos en el puesto (Little) → 1 jaula(s), 2.4 m² (Balanceo, Carga L118:N118)</t>
  </si>
  <si>
    <t xml:space="preserve">Balanceo, Carga fila 118 (N°, puesto, máquinas, turnos; jaulas y m² en columnas L a N)</t>
  </si>
  <si>
    <t xml:space="preserve">Cargadora Yukon 1</t>
  </si>
  <si>
    <t xml:space="preserve">Plano rev23 rec_R15 #3</t>
  </si>
  <si>
    <t xml:space="preserve">Cargadora Yukon 2</t>
  </si>
  <si>
    <t xml:space="preserve">Plano rev23 rec_R15 #4</t>
  </si>
  <si>
    <t xml:space="preserve">Plano rev23 rec_R15 #1</t>
  </si>
  <si>
    <t xml:space="preserve">Portátil BC</t>
  </si>
  <si>
    <t xml:space="preserve">Plano rev23 rec_R15 #2</t>
  </si>
  <si>
    <t xml:space="preserve">Pasaplatos P3</t>
  </si>
  <si>
    <t xml:space="preserve">ventana de paso del recinto</t>
  </si>
  <si>
    <t xml:space="preserve">Plano rev23 rec_R15 #7</t>
  </si>
  <si>
    <t xml:space="preserve">Plano rev23 rec_R15 #5</t>
  </si>
  <si>
    <t xml:space="preserve">Plano rev23 rec_R15 #6</t>
  </si>
  <si>
    <t xml:space="preserve">Sector cerrado de 1,95 × 2,15 m (rect #1 del plano): PFF de 12 l y balanza al N; desarme D al centro; tambor D al S.</t>
  </si>
  <si>
    <t xml:space="preserve">Plano rev23, sector rec_claseD (rect)</t>
  </si>
  <si>
    <t xml:space="preserve">Cargadora PFF 12 l</t>
  </si>
  <si>
    <t xml:space="preserve">12 l</t>
  </si>
  <si>
    <t xml:space="preserve">Plano rev23 rec_claseD #2</t>
  </si>
  <si>
    <t xml:space="preserve">Plano rev23 rec_claseD #3</t>
  </si>
  <si>
    <t xml:space="preserve">Desarme D</t>
  </si>
  <si>
    <t xml:space="preserve">Plano rev23 rec_claseD #6</t>
  </si>
  <si>
    <t xml:space="preserve">Tambor D</t>
  </si>
  <si>
    <t xml:space="preserve">Plano rev23 rec_claseD #4</t>
  </si>
  <si>
    <t xml:space="preserve">2 mesas con llave dinamométrica al E con un operario cada una al O.</t>
  </si>
  <si>
    <t xml:space="preserve">Plano rev23, sector rec_R16 (rect)</t>
  </si>
  <si>
    <t xml:space="preserve">Ensamblaje y marbete — recinto</t>
  </si>
  <si>
    <t xml:space="preserve">17.4 equipos en el puesto (Little) → 1 jaula(s), 2.4 m² (Balanceo, Carga L119:N119)</t>
  </si>
  <si>
    <t xml:space="preserve">Balanceo, Carga fila 119 (N°, puesto, máquinas, turnos; jaulas y m² en columnas L a N)</t>
  </si>
  <si>
    <t xml:space="preserve">Mesa + llave dinamométrica 1</t>
  </si>
  <si>
    <t xml:space="preserve">Plano rev23 rec_R16 #1</t>
  </si>
  <si>
    <t xml:space="preserve">Mesa + llave dinamométrica 2</t>
  </si>
  <si>
    <t xml:space="preserve">Plano rev23 rec_R16 #2</t>
  </si>
  <si>
    <t xml:space="preserve">Plano rev23 rec_R16 #3</t>
  </si>
  <si>
    <t xml:space="preserve">Plano rev23 rec_R16 #4</t>
  </si>
  <si>
    <t xml:space="preserve">Soporte con pinza de N₂ al centro; operario al O; pasaplatos P4 en la pared E.</t>
  </si>
  <si>
    <t xml:space="preserve">Plano rev23, sector rec_R17 (rect)</t>
  </si>
  <si>
    <t xml:space="preserve">Presurización — recinto</t>
  </si>
  <si>
    <t xml:space="preserve">17.0 equipos en el puesto (Little) → 1 jaula(s), 2.4 m² (Balanceo, Carga L120:N120)</t>
  </si>
  <si>
    <t xml:space="preserve">Balanceo, Carga fila 120 (N°, puesto, máquinas, turnos; jaulas y m² en columnas L a N)</t>
  </si>
  <si>
    <t xml:space="preserve">Soporte + pinza N₂</t>
  </si>
  <si>
    <t xml:space="preserve">Plano rev23 rec_R17 #2</t>
  </si>
  <si>
    <t xml:space="preserve">Pasaplatos P4</t>
  </si>
  <si>
    <t xml:space="preserve">Plano rev23 rec_R17 #3</t>
  </si>
  <si>
    <t xml:space="preserve">Plano rev23 rec_R17 #1</t>
  </si>
  <si>
    <t xml:space="preserve">Mesa con morsa y pinza Yukon al O; balanza del control de peso (R19) al centro; operario al E.</t>
  </si>
  <si>
    <t xml:space="preserve">Plano rev23, sector rec_R18 (rect)</t>
  </si>
  <si>
    <t xml:space="preserve">Ensamblaje y presurización — zona general</t>
  </si>
  <si>
    <t xml:space="preserve">2.2 equipos en el puesto (Little) → 1 jaula(s), 2.4 m² (Balanceo, Carga L121:N121)</t>
  </si>
  <si>
    <t xml:space="preserve">Balanceo, Carga fila 121 (N°, puesto, máquinas, turnos; jaulas y m² en columnas L a N)</t>
  </si>
  <si>
    <t xml:space="preserve">Mesa + morsa + pinza Yukon</t>
  </si>
  <si>
    <t xml:space="preserve">Plano rev23 rec_R18 #1</t>
  </si>
  <si>
    <t xml:space="preserve">Plano rev23 rec_R18 #4</t>
  </si>
  <si>
    <t xml:space="preserve">Control de peso (CO₂ y halogenados sin recarga)</t>
  </si>
  <si>
    <t xml:space="preserve">1.4 equipos en el puesto (Little) → 1 jaula(s), 2.4 m² (Balanceo, Carga L122:N122)</t>
  </si>
  <si>
    <t xml:space="preserve">Balanceo, Carga fila 122 (N°, puesto, máquinas, turnos; jaulas y m² en columnas L a N)</t>
  </si>
  <si>
    <t xml:space="preserve">Balanza (R19)</t>
  </si>
  <si>
    <t xml:space="preserve">Plano rev23 rec_R18 #2</t>
  </si>
  <si>
    <t xml:space="preserve">2 tanques de inmersión al O; pierden y rejilla al centro; operarios al E.</t>
  </si>
  <si>
    <t xml:space="preserve">Plano rev23, sector rec_R20 (rect)</t>
  </si>
  <si>
    <t xml:space="preserve">Ensayo de pérdidas — cuello de recargas</t>
  </si>
  <si>
    <t xml:space="preserve">37.7 equipos en el puesto (Little) → 2 jaula(s), 4.8 m² (Balanceo, Carga L123:N123)</t>
  </si>
  <si>
    <t xml:space="preserve">Balanceo, Carga fila 123 (N°, puesto, máquinas, turnos; jaulas y m² en columnas L a N)</t>
  </si>
  <si>
    <t xml:space="preserve">Tanque de inmersión 1</t>
  </si>
  <si>
    <t xml:space="preserve">Plano rev23 rec_R20 #1</t>
  </si>
  <si>
    <t xml:space="preserve">Tanque de inmersión 2</t>
  </si>
  <si>
    <t xml:space="preserve">Plano rev23 rec_R20 #2</t>
  </si>
  <si>
    <t xml:space="preserve">Pierden</t>
  </si>
  <si>
    <t xml:space="preserve">Plano rev23 rec_R20 #3</t>
  </si>
  <si>
    <t xml:space="preserve">Rejilla</t>
  </si>
  <si>
    <t xml:space="preserve">Plano rev23 rec_R20 #4</t>
  </si>
  <si>
    <t xml:space="preserve">Plano rev23 rec_R20 #5</t>
  </si>
  <si>
    <t xml:space="preserve">Plano rev23 rec_R20 #6</t>
  </si>
  <si>
    <t xml:space="preserve">2 dispensadores con posicionador al O, cada uno con su operario al S; jaula en armado al E.</t>
  </si>
  <si>
    <t xml:space="preserve">Plano rev23, sector rec_R21 (rect)</t>
  </si>
  <si>
    <t xml:space="preserve">Precinto, etiqueta y despacho</t>
  </si>
  <si>
    <t xml:space="preserve">18.9 equipos en el puesto (Little) → 1 jaula(s), 2.4 m² (Balanceo, Carga L124:N124)</t>
  </si>
  <si>
    <t xml:space="preserve">Balanceo, Carga fila 124 (N°, puesto, máquinas, turnos; jaulas y m² en columnas L a N)</t>
  </si>
  <si>
    <t xml:space="preserve">Dispensador + posicionador 1</t>
  </si>
  <si>
    <t xml:space="preserve">Plano rev23 rec_R21 #1</t>
  </si>
  <si>
    <t xml:space="preserve">Dispensador + posicionador 2</t>
  </si>
  <si>
    <t xml:space="preserve">Plano rev23 rec_R21 #2</t>
  </si>
  <si>
    <t xml:space="preserve">Jaula en armado</t>
  </si>
  <si>
    <t xml:space="preserve">Plano rev23 rec_R21 #5</t>
  </si>
  <si>
    <t xml:space="preserve">plano 0,95 × 0,75 m vs jaula de 1,2 × 1,0 m del Word; alto de la jaula</t>
  </si>
  <si>
    <t xml:space="preserve">Plano rev23 rec_R21 #3</t>
  </si>
  <si>
    <t xml:space="preserve">Plano rev23 rec_R21 #4</t>
  </si>
  <si>
    <t xml:space="preserve">Prensa en V y taladro al E; 3 contenedores de separación (metal, mangueras, válvulas) al S; operario al centro.</t>
  </si>
  <si>
    <t xml:space="preserve">Plano rev23, sector rec_R22 (rect)</t>
  </si>
  <si>
    <t xml:space="preserve">Inutilización y disposición final</t>
  </si>
  <si>
    <t xml:space="preserve">3.5 equipos en el puesto (Little) → 1 jaula(s), 2.4 m² (Balanceo, Carga L125:N125)</t>
  </si>
  <si>
    <t xml:space="preserve">Balanceo, Carga fila 125 (N°, puesto, máquinas, turnos; jaulas y m² en columnas L a N)</t>
  </si>
  <si>
    <t xml:space="preserve">Prensa en V</t>
  </si>
  <si>
    <t xml:space="preserve">Plano rev23 rec_R22 #1</t>
  </si>
  <si>
    <t xml:space="preserve">Plano rev23 rec_R22 #2</t>
  </si>
  <si>
    <t xml:space="preserve">Contenedor metal</t>
  </si>
  <si>
    <t xml:space="preserve">Plano rev23 rec_R22 #4</t>
  </si>
  <si>
    <t xml:space="preserve">Contenedor mangueras</t>
  </si>
  <si>
    <t xml:space="preserve">Plano rev23 rec_R22 #5</t>
  </si>
  <si>
    <t xml:space="preserve">Contenedor válvulas</t>
  </si>
  <si>
    <t xml:space="preserve">Plano rev23 rec_R22 #6</t>
  </si>
  <si>
    <t xml:space="preserve">Plano rev23 rec_R22 #3</t>
  </si>
  <si>
    <t xml:space="preserve">Polígono en L. Lugares verde y amarillo al N; el resto es la espera de jaulas (mismo pulmón).</t>
  </si>
  <si>
    <t xml:space="preserve">Plano rev23, sector rec_PL (polígono: superficie por coordenadas; ancho y largo = caja que lo contiene)</t>
  </si>
  <si>
    <t xml:space="preserve">Lugar verde</t>
  </si>
  <si>
    <t xml:space="preserve">Plano rev23 rec_PL #1</t>
  </si>
  <si>
    <t xml:space="preserve">plano 1,0 × 0,75 m vs jaula de 1,2 × 1,0 m del Word; alto</t>
  </si>
  <si>
    <t xml:space="preserve">Lugar amarillo</t>
  </si>
  <si>
    <t xml:space="preserve">Plano rev23 rec_PL #2</t>
  </si>
  <si>
    <t xml:space="preserve">Deshumidificador y extracción de 8 renovaciones por hora con filtro; humedad máxima 70 % (Word de recargas, recinto de polvo).</t>
  </si>
  <si>
    <t xml:space="preserve">Plano rev23, sector rec_clima (rect)</t>
  </si>
  <si>
    <t xml:space="preserve">Deshumidificador</t>
  </si>
  <si>
    <t xml:space="preserve">Plano rev23 rec_clima #1</t>
  </si>
  <si>
    <t xml:space="preserve">alto y caudal</t>
  </si>
  <si>
    <t xml:space="preserve">Extracción 8 renovaciones/h + filtro</t>
  </si>
  <si>
    <t xml:space="preserve">8 renovaciones por hora</t>
  </si>
  <si>
    <t xml:space="preserve">Plano rev23 rec_clima #2</t>
  </si>
  <si>
    <t xml:space="preserve">Pallet de polvo ABC al O y BC al E.</t>
  </si>
  <si>
    <t xml:space="preserve">Plano rev23, sector rec_polvo (rect)</t>
  </si>
  <si>
    <t xml:space="preserve">Polvo ABC (pallet)</t>
  </si>
  <si>
    <t xml:space="preserve">Plano rev23 rec_polvo #1</t>
  </si>
  <si>
    <t xml:space="preserve">Polvo BC</t>
  </si>
  <si>
    <t xml:space="preserve">Plano rev23 rec_polvo #2</t>
  </si>
  <si>
    <t xml:space="preserve">Estante de o-rings y marbetes.</t>
  </si>
  <si>
    <t xml:space="preserve">Plano rev23, sector rec_repuestos (rect)</t>
  </si>
  <si>
    <t xml:space="preserve">Estante de o-rings y marbetes</t>
  </si>
  <si>
    <t xml:space="preserve">Plano rev23 rec_repuestos #1</t>
  </si>
  <si>
    <t xml:space="preserve">16 posiciones en 2 filas de 8, apiladas a 2: 26 jaulas (A y B) y 5 de rodantes.</t>
  </si>
  <si>
    <t xml:space="preserve">Plano rev23, sector rec_pulmon_e (rect)</t>
  </si>
  <si>
    <t xml:space="preserve">Posiciones de jaulas E1 a E16 (apiladas a 2)</t>
  </si>
  <si>
    <t xml:space="preserve">todo el sector</t>
  </si>
  <si>
    <t xml:space="preserve">cada posición 1,0 × 1,2 m; jaula metálica paletizable 1.200 × 1.000 mm (Word de recargas, lógica); 28 equipos por jaula y 2,4 m² por jaula con pasillo (Balanceo, Carga A131)</t>
  </si>
  <si>
    <t xml:space="preserve">Plano rev23 rec_pulmon_e #0 a #15; Balanceo, Carga fila 128</t>
  </si>
  <si>
    <t xml:space="preserve">el plano da 26 jaulas; el Balanceo pide ½ día = 10 jaulas, 24 m². Alto de 2 jaulas apiladas</t>
  </si>
  <si>
    <t xml:space="preserve">Plano rev23, sector rec_pulmon_d (rect)</t>
  </si>
  <si>
    <t xml:space="preserve">Posiciones de jaulas D1 a D16 (apiladas a 2)</t>
  </si>
  <si>
    <t xml:space="preserve">Plano rev23 rec_pulmon_d #0 a #15; Balanceo, Carga fila 129</t>
  </si>
  <si>
    <t xml:space="preserve">2 posiciones de jaulas vacías apiladas a 2.</t>
  </si>
  <si>
    <t xml:space="preserve">Plano rev23, sector rec_vacias (rect)</t>
  </si>
  <si>
    <t xml:space="preserve">Jaulas vacías V1 y V2 (apiladas a 2)</t>
  </si>
  <si>
    <t xml:space="preserve">cada posición 1,0 × 1,2 m</t>
  </si>
  <si>
    <t xml:space="preserve">Plano rev23 rec_vacias #0 y #1</t>
  </si>
  <si>
    <t xml:space="preserve">Apilador de 1,5 t y transpaleta de 2,5 t en carga; PC de trazabilidad al S.</t>
  </si>
  <si>
    <t xml:space="preserve">Plano rev23, sector rec_baterias (rect)</t>
  </si>
  <si>
    <t xml:space="preserve">Apilador 1,5 t</t>
  </si>
  <si>
    <t xml:space="preserve">Plano rev23 rec_baterias #0</t>
  </si>
  <si>
    <t xml:space="preserve">Transpaleta 2,5 t</t>
  </si>
  <si>
    <t xml:space="preserve">Plano rev23 rec_baterias #1</t>
  </si>
  <si>
    <t xml:space="preserve">PC de trazabilidad</t>
  </si>
  <si>
    <t xml:space="preserve">Plano rev23 rec_baterias #2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</si>
</sst>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E7E6E6"/>
        <bgColor rgb="FFFFFFFF"/>
      </patternFill>
    </fill>
    <fill>
      <patternFill patternType="solid">
        <fgColor rgb="FFBFBFBF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40404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2.35" hidden="false" customHeight="false" outlineLevel="0" collapsed="false">
      <c r="A3" s="3" t="s">
        <v>3</v>
      </c>
      <c r="B3" s="2" t="s">
        <v>4</v>
      </c>
    </row>
    <row r="4" customFormat="false" ht="22.35" hidden="false" customHeight="false" outlineLevel="0" collapsed="false">
      <c r="A4" s="3" t="s">
        <v>5</v>
      </c>
      <c r="B4" s="2" t="s">
        <v>6</v>
      </c>
    </row>
    <row r="5" customFormat="false" ht="15" hidden="false" customHeight="false" outlineLevel="0" collapsed="false">
      <c r="A5" s="3" t="s">
        <v>7</v>
      </c>
      <c r="B5" s="2" t="s">
        <v>8</v>
      </c>
    </row>
    <row r="6" customFormat="false" ht="22.35" hidden="false" customHeight="false" outlineLevel="0" collapsed="false">
      <c r="A6" s="3" t="s">
        <v>9</v>
      </c>
      <c r="B6" s="2" t="s">
        <v>10</v>
      </c>
    </row>
    <row r="7" customFormat="false" ht="22.35" hidden="false" customHeight="false" outlineLevel="0" collapsed="false">
      <c r="A7" s="3" t="s">
        <v>11</v>
      </c>
      <c r="B7" s="2" t="s">
        <v>12</v>
      </c>
    </row>
    <row r="8" customFormat="false" ht="15" hidden="false" customHeight="false" outlineLevel="0" collapsed="false">
      <c r="A8" s="3" t="s">
        <v>13</v>
      </c>
      <c r="B8" s="2" t="s">
        <v>14</v>
      </c>
    </row>
    <row r="9" customFormat="false" ht="22.35" hidden="false" customHeight="false" outlineLevel="0" collapsed="false">
      <c r="A9" s="3" t="s">
        <v>15</v>
      </c>
      <c r="B9" s="2" t="s">
        <v>16</v>
      </c>
    </row>
    <row r="10" customFormat="false" ht="22.35" hidden="false" customHeight="false" outlineLevel="0" collapsed="false">
      <c r="A10" s="3" t="s">
        <v>17</v>
      </c>
      <c r="B10" s="2" t="s">
        <v>18</v>
      </c>
    </row>
    <row r="11" customFormat="false" ht="22.35" hidden="false" customHeight="false" outlineLevel="0" collapsed="false">
      <c r="A11" s="3" t="s">
        <v>19</v>
      </c>
      <c r="B11" s="2" t="s">
        <v>20</v>
      </c>
    </row>
    <row r="12" customFormat="false" ht="22.35" hidden="false" customHeight="false" outlineLevel="0" collapsed="false">
      <c r="A12" s="3" t="s">
        <v>21</v>
      </c>
      <c r="B12" s="2" t="s">
        <v>22</v>
      </c>
    </row>
    <row r="13" customFormat="false" ht="22.35" hidden="false" customHeight="false" outlineLevel="0" collapsed="false">
      <c r="A13" s="3" t="s">
        <v>23</v>
      </c>
      <c r="B13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70"/>
    <col collapsed="false" customWidth="true" hidden="false" outlineLevel="0" max="5" min="4" style="0" width="10"/>
    <col collapsed="false" customWidth="true" hidden="false" outlineLevel="0" max="7" min="6" style="0" width="12"/>
    <col collapsed="false" customWidth="true" hidden="false" outlineLevel="0" max="8" min="8" style="0" width="10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4" t="s">
        <v>25</v>
      </c>
    </row>
    <row r="3" customFormat="false" ht="22.35" hidden="false" customHeight="false" outlineLevel="0" collapsed="false">
      <c r="A3" s="5" t="s">
        <v>26</v>
      </c>
      <c r="B3" s="5" t="s">
        <v>27</v>
      </c>
      <c r="C3" s="5" t="s">
        <v>28</v>
      </c>
      <c r="D3" s="5" t="s">
        <v>29</v>
      </c>
      <c r="E3" s="5" t="s">
        <v>30</v>
      </c>
      <c r="F3" s="5" t="s">
        <v>31</v>
      </c>
      <c r="G3" s="5" t="s">
        <v>32</v>
      </c>
      <c r="H3" s="5" t="s">
        <v>33</v>
      </c>
      <c r="I3" s="5" t="s">
        <v>34</v>
      </c>
    </row>
    <row r="4" customFormat="false" ht="15" hidden="false" customHeight="false" outlineLevel="0" collapsed="false">
      <c r="A4" s="6" t="s">
        <v>35</v>
      </c>
      <c r="B4" s="6" t="s">
        <v>36</v>
      </c>
      <c r="C4" s="6" t="s">
        <v>37</v>
      </c>
      <c r="D4" s="7" t="n">
        <f aca="false">Manuales!I5</f>
        <v>7</v>
      </c>
      <c r="E4" s="7" t="n">
        <f aca="false">Manuales!J5</f>
        <v>10</v>
      </c>
      <c r="F4" s="7" t="n">
        <f aca="false">Manuales!L5</f>
        <v>50.62</v>
      </c>
      <c r="G4" s="7" t="n">
        <f aca="false">Manuales!S5</f>
        <v>31.0434</v>
      </c>
      <c r="H4" s="8" t="n">
        <f aca="false">G4/F4</f>
        <v>0.613263532200711</v>
      </c>
      <c r="I4" s="6" t="n">
        <v>1</v>
      </c>
    </row>
    <row r="5" customFormat="false" ht="15" hidden="false" customHeight="false" outlineLevel="0" collapsed="false">
      <c r="A5" s="6" t="s">
        <v>35</v>
      </c>
      <c r="B5" s="6" t="s">
        <v>38</v>
      </c>
      <c r="C5" s="6" t="s">
        <v>39</v>
      </c>
      <c r="D5" s="7" t="n">
        <f aca="false">Manuales!I20</f>
        <v>9</v>
      </c>
      <c r="E5" s="7" t="n">
        <f aca="false">Manuales!J20</f>
        <v>5.45</v>
      </c>
      <c r="F5" s="7" t="n">
        <f aca="false">Manuales!L20</f>
        <v>49.05</v>
      </c>
      <c r="G5" s="7" t="n">
        <f aca="false">Manuales!S20</f>
        <v>24.079</v>
      </c>
      <c r="H5" s="8" t="n">
        <f aca="false">G5/F5</f>
        <v>0.490907237512742</v>
      </c>
      <c r="I5" s="6" t="n">
        <v>1</v>
      </c>
    </row>
    <row r="6" customFormat="false" ht="15" hidden="false" customHeight="false" outlineLevel="0" collapsed="false">
      <c r="A6" s="6" t="s">
        <v>35</v>
      </c>
      <c r="B6" s="6" t="s">
        <v>40</v>
      </c>
      <c r="C6" s="6" t="s">
        <v>41</v>
      </c>
      <c r="D6" s="7" t="n">
        <f aca="false">Manuales!I33</f>
        <v>3.1</v>
      </c>
      <c r="E6" s="7" t="n">
        <f aca="false">Manuales!J33</f>
        <v>5.45</v>
      </c>
      <c r="F6" s="7" t="n">
        <f aca="false">Manuales!L33</f>
        <v>16.895</v>
      </c>
      <c r="G6" s="7" t="n">
        <f aca="false">Manuales!S33</f>
        <v>3.454</v>
      </c>
      <c r="H6" s="8" t="n">
        <f aca="false">G6/F6</f>
        <v>0.204439183190293</v>
      </c>
      <c r="I6" s="6" t="n">
        <v>1</v>
      </c>
    </row>
    <row r="7" customFormat="false" ht="15" hidden="false" customHeight="false" outlineLevel="0" collapsed="false">
      <c r="A7" s="6" t="s">
        <v>35</v>
      </c>
      <c r="B7" s="6" t="s">
        <v>42</v>
      </c>
      <c r="C7" s="6" t="s">
        <v>43</v>
      </c>
      <c r="D7" s="7" t="n">
        <f aca="false">Manuales!I40</f>
        <v>3.7</v>
      </c>
      <c r="E7" s="7" t="n">
        <f aca="false">Manuales!J40</f>
        <v>4.45</v>
      </c>
      <c r="F7" s="7" t="n">
        <f aca="false">Manuales!L40</f>
        <v>16.465</v>
      </c>
      <c r="G7" s="7" t="n">
        <f aca="false">Manuales!S40</f>
        <v>5.5002</v>
      </c>
      <c r="H7" s="8" t="n">
        <f aca="false">G7/F7</f>
        <v>0.334054054054054</v>
      </c>
      <c r="I7" s="6" t="n">
        <v>1</v>
      </c>
    </row>
    <row r="8" customFormat="false" ht="15" hidden="false" customHeight="false" outlineLevel="0" collapsed="false">
      <c r="A8" s="6" t="s">
        <v>35</v>
      </c>
      <c r="B8" s="6" t="s">
        <v>44</v>
      </c>
      <c r="C8" s="6" t="s">
        <v>45</v>
      </c>
      <c r="D8" s="7" t="n">
        <f aca="false">Manuales!I48</f>
        <v>3.4</v>
      </c>
      <c r="E8" s="7" t="n">
        <f aca="false">Manuales!J48</f>
        <v>3.5</v>
      </c>
      <c r="F8" s="7" t="n">
        <f aca="false">Manuales!L48</f>
        <v>11.9</v>
      </c>
      <c r="G8" s="7" t="n">
        <f aca="false">Manuales!S48</f>
        <v>2.554</v>
      </c>
      <c r="H8" s="8" t="n">
        <f aca="false">G8/F8</f>
        <v>0.214621848739496</v>
      </c>
      <c r="I8" s="6" t="n">
        <v>1</v>
      </c>
    </row>
    <row r="9" customFormat="false" ht="15" hidden="false" customHeight="false" outlineLevel="0" collapsed="false">
      <c r="A9" s="6" t="s">
        <v>35</v>
      </c>
      <c r="B9" s="6" t="s">
        <v>46</v>
      </c>
      <c r="C9" s="6" t="s">
        <v>47</v>
      </c>
      <c r="D9" s="7" t="n">
        <f aca="false">Manuales!I54</f>
        <v>2.7</v>
      </c>
      <c r="E9" s="7" t="n">
        <f aca="false">Manuales!J54</f>
        <v>5.95</v>
      </c>
      <c r="F9" s="7" t="n">
        <f aca="false">Manuales!L54</f>
        <v>16.065</v>
      </c>
      <c r="G9" s="7" t="n">
        <f aca="false">Manuales!S54</f>
        <v>4.404</v>
      </c>
      <c r="H9" s="8" t="n">
        <f aca="false">G9/F9</f>
        <v>0.274136321195145</v>
      </c>
      <c r="I9" s="6" t="n">
        <v>1</v>
      </c>
    </row>
    <row r="10" customFormat="false" ht="15" hidden="false" customHeight="false" outlineLevel="0" collapsed="false">
      <c r="A10" s="6" t="s">
        <v>35</v>
      </c>
      <c r="B10" s="6" t="s">
        <v>48</v>
      </c>
      <c r="C10" s="6" t="s">
        <v>49</v>
      </c>
      <c r="D10" s="7" t="n">
        <f aca="false">Manuales!I60</f>
        <v>2.8</v>
      </c>
      <c r="E10" s="7" t="n">
        <f aca="false">Manuales!J60</f>
        <v>4.45</v>
      </c>
      <c r="F10" s="7" t="n">
        <f aca="false">Manuales!L60</f>
        <v>12.46</v>
      </c>
      <c r="G10" s="7" t="n">
        <f aca="false">Manuales!S60</f>
        <v>5.624</v>
      </c>
      <c r="H10" s="8" t="n">
        <f aca="false">G10/F10</f>
        <v>0.451364365971108</v>
      </c>
      <c r="I10" s="6" t="n">
        <v>1</v>
      </c>
    </row>
    <row r="11" customFormat="false" ht="15" hidden="false" customHeight="false" outlineLevel="0" collapsed="false">
      <c r="A11" s="6" t="s">
        <v>35</v>
      </c>
      <c r="B11" s="6" t="s">
        <v>50</v>
      </c>
      <c r="C11" s="6" t="s">
        <v>51</v>
      </c>
      <c r="D11" s="7" t="n">
        <f aca="false">Manuales!I67</f>
        <v>3</v>
      </c>
      <c r="E11" s="7" t="n">
        <f aca="false">Manuales!J67</f>
        <v>5.95</v>
      </c>
      <c r="F11" s="7" t="n">
        <f aca="false">Manuales!L67</f>
        <v>17.85</v>
      </c>
      <c r="G11" s="7" t="n">
        <f aca="false">Manuales!S67</f>
        <v>9.8</v>
      </c>
      <c r="H11" s="8" t="n">
        <f aca="false">G11/F11</f>
        <v>0.549019607843137</v>
      </c>
      <c r="I11" s="6" t="n">
        <v>1</v>
      </c>
    </row>
    <row r="12" customFormat="false" ht="15" hidden="false" customHeight="false" outlineLevel="0" collapsed="false">
      <c r="A12" s="6" t="s">
        <v>35</v>
      </c>
      <c r="B12" s="6" t="s">
        <v>52</v>
      </c>
      <c r="C12" s="6" t="s">
        <v>53</v>
      </c>
      <c r="D12" s="7" t="n">
        <f aca="false">Manuales!I76</f>
        <v>3.6</v>
      </c>
      <c r="E12" s="7" t="n">
        <f aca="false">Manuales!J76</f>
        <v>6</v>
      </c>
      <c r="F12" s="7" t="n">
        <f aca="false">Manuales!L76</f>
        <v>21.6</v>
      </c>
      <c r="G12" s="7" t="n">
        <f aca="false">Manuales!S76</f>
        <v>6.2</v>
      </c>
      <c r="H12" s="8" t="n">
        <f aca="false">G12/F12</f>
        <v>0.287037037037037</v>
      </c>
      <c r="I12" s="6" t="n">
        <v>1</v>
      </c>
    </row>
    <row r="13" customFormat="false" ht="15" hidden="false" customHeight="false" outlineLevel="0" collapsed="false">
      <c r="A13" s="6" t="s">
        <v>35</v>
      </c>
      <c r="B13" s="6" t="s">
        <v>54</v>
      </c>
      <c r="C13" s="6" t="s">
        <v>55</v>
      </c>
      <c r="D13" s="7" t="n">
        <f aca="false">Manuales!I83</f>
        <v>4</v>
      </c>
      <c r="E13" s="7" t="n">
        <f aca="false">Manuales!J83</f>
        <v>4.45</v>
      </c>
      <c r="F13" s="7" t="n">
        <f aca="false">Manuales!L83</f>
        <v>17.8</v>
      </c>
      <c r="G13" s="7" t="n">
        <f aca="false">Manuales!S83</f>
        <v>7.54</v>
      </c>
      <c r="H13" s="8" t="n">
        <f aca="false">G13/F13</f>
        <v>0.423595505617978</v>
      </c>
      <c r="I13" s="6" t="n">
        <v>1</v>
      </c>
    </row>
    <row r="14" customFormat="false" ht="15" hidden="false" customHeight="false" outlineLevel="0" collapsed="false">
      <c r="A14" s="6" t="s">
        <v>35</v>
      </c>
      <c r="B14" s="6" t="s">
        <v>56</v>
      </c>
      <c r="C14" s="6" t="s">
        <v>57</v>
      </c>
      <c r="D14" s="7" t="n">
        <f aca="false">Manuales!I91</f>
        <v>2.8</v>
      </c>
      <c r="E14" s="7" t="n">
        <f aca="false">Manuales!J91</f>
        <v>4.45</v>
      </c>
      <c r="F14" s="7" t="n">
        <f aca="false">Manuales!L91</f>
        <v>12.46</v>
      </c>
      <c r="G14" s="7" t="n">
        <f aca="false">Manuales!S91</f>
        <v>5.205</v>
      </c>
      <c r="H14" s="8" t="n">
        <f aca="false">G14/F14</f>
        <v>0.417736757624398</v>
      </c>
      <c r="I14" s="6" t="n">
        <v>1</v>
      </c>
    </row>
    <row r="15" customFormat="false" ht="15" hidden="false" customHeight="false" outlineLevel="0" collapsed="false">
      <c r="A15" s="6" t="s">
        <v>35</v>
      </c>
      <c r="B15" s="6" t="s">
        <v>58</v>
      </c>
      <c r="C15" s="6" t="s">
        <v>59</v>
      </c>
      <c r="D15" s="7" t="n">
        <f aca="false">Manuales!I97</f>
        <v>4.6</v>
      </c>
      <c r="E15" s="7" t="n">
        <f aca="false">Manuales!J97</f>
        <v>5.95</v>
      </c>
      <c r="F15" s="7" t="n">
        <f aca="false">Manuales!L97</f>
        <v>27.37</v>
      </c>
      <c r="G15" s="7" t="n">
        <f aca="false">Manuales!S97</f>
        <v>13.078</v>
      </c>
      <c r="H15" s="8" t="n">
        <f aca="false">G15/F15</f>
        <v>0.477822433321155</v>
      </c>
      <c r="I15" s="6" t="n">
        <v>1</v>
      </c>
    </row>
    <row r="16" customFormat="false" ht="15" hidden="false" customHeight="false" outlineLevel="0" collapsed="false">
      <c r="A16" s="6" t="s">
        <v>35</v>
      </c>
      <c r="B16" s="6" t="s">
        <v>60</v>
      </c>
      <c r="C16" s="6" t="s">
        <v>61</v>
      </c>
      <c r="D16" s="7" t="n">
        <f aca="false">Manuales!I108</f>
        <v>1.6</v>
      </c>
      <c r="E16" s="7" t="n">
        <f aca="false">Manuales!J108</f>
        <v>5.95</v>
      </c>
      <c r="F16" s="7" t="n">
        <f aca="false">Manuales!L108</f>
        <v>9.52</v>
      </c>
      <c r="G16" s="7" t="n">
        <f aca="false">Manuales!S108</f>
        <v>2.284</v>
      </c>
      <c r="H16" s="8" t="n">
        <f aca="false">G16/F16</f>
        <v>0.239915966386555</v>
      </c>
      <c r="I16" s="6" t="n">
        <v>1</v>
      </c>
    </row>
    <row r="17" customFormat="false" ht="15" hidden="false" customHeight="false" outlineLevel="0" collapsed="false">
      <c r="A17" s="6" t="s">
        <v>35</v>
      </c>
      <c r="B17" s="6" t="s">
        <v>62</v>
      </c>
      <c r="C17" s="6" t="s">
        <v>63</v>
      </c>
      <c r="D17" s="7" t="n">
        <f aca="false">Manuales!I113</f>
        <v>10.2</v>
      </c>
      <c r="E17" s="7" t="n">
        <f aca="false">Manuales!J113</f>
        <v>5.95</v>
      </c>
      <c r="F17" s="7" t="n">
        <f aca="false">Manuales!L113</f>
        <v>60.69</v>
      </c>
      <c r="G17" s="7" t="n">
        <f aca="false">Manuales!S113</f>
        <v>23.902</v>
      </c>
      <c r="H17" s="8" t="n">
        <f aca="false">G17/F17</f>
        <v>0.393837535014006</v>
      </c>
      <c r="I17" s="6" t="n">
        <v>1</v>
      </c>
    </row>
    <row r="18" customFormat="false" ht="15" hidden="false" customHeight="false" outlineLevel="0" collapsed="false">
      <c r="A18" s="6" t="s">
        <v>35</v>
      </c>
      <c r="B18" s="6" t="s">
        <v>64</v>
      </c>
      <c r="C18" s="6" t="s">
        <v>65</v>
      </c>
      <c r="D18" s="7" t="n">
        <f aca="false">Manuales!I130</f>
        <v>10.3</v>
      </c>
      <c r="E18" s="7" t="n">
        <f aca="false">Manuales!J130</f>
        <v>4.45</v>
      </c>
      <c r="F18" s="7" t="n">
        <f aca="false">Manuales!L130</f>
        <v>45.835</v>
      </c>
      <c r="G18" s="7" t="n">
        <f aca="false">Manuales!S130</f>
        <v>21.603</v>
      </c>
      <c r="H18" s="8" t="n">
        <f aca="false">G18/F18</f>
        <v>0.471321042871168</v>
      </c>
      <c r="I18" s="6" t="n">
        <v>1</v>
      </c>
    </row>
    <row r="19" customFormat="false" ht="15" hidden="false" customHeight="false" outlineLevel="0" collapsed="false">
      <c r="A19" s="6" t="s">
        <v>35</v>
      </c>
      <c r="B19" s="6" t="s">
        <v>66</v>
      </c>
      <c r="C19" s="6" t="s">
        <v>67</v>
      </c>
      <c r="D19" s="7" t="n">
        <f aca="false">Manuales!I148</f>
        <v>10.3</v>
      </c>
      <c r="E19" s="7" t="n">
        <f aca="false">Manuales!J148</f>
        <v>8.85</v>
      </c>
      <c r="F19" s="7" t="n">
        <f aca="false">Manuales!L148</f>
        <v>91.155</v>
      </c>
      <c r="G19" s="7" t="n">
        <f aca="false">Manuales!S148</f>
        <v>67.373</v>
      </c>
      <c r="H19" s="8" t="n">
        <f aca="false">G19/F19</f>
        <v>0.739103724425429</v>
      </c>
      <c r="I19" s="6" t="n">
        <v>1</v>
      </c>
    </row>
    <row r="20" customFormat="false" ht="15" hidden="false" customHeight="false" outlineLevel="0" collapsed="false">
      <c r="A20" s="6" t="s">
        <v>35</v>
      </c>
      <c r="B20" s="6" t="s">
        <v>68</v>
      </c>
      <c r="C20" s="6" t="s">
        <v>69</v>
      </c>
      <c r="D20" s="7" t="n">
        <f aca="false">Manuales!I160</f>
        <v>4.9</v>
      </c>
      <c r="E20" s="7" t="n">
        <f aca="false">Manuales!J160</f>
        <v>4.4</v>
      </c>
      <c r="F20" s="7" t="n">
        <f aca="false">Manuales!L160</f>
        <v>21.56</v>
      </c>
      <c r="G20" s="7" t="n">
        <f aca="false">Manuales!S160</f>
        <v>7.7215</v>
      </c>
      <c r="H20" s="8" t="n">
        <f aca="false">G20/F20</f>
        <v>0.358140074211503</v>
      </c>
      <c r="I20" s="6" t="n">
        <v>1</v>
      </c>
    </row>
    <row r="21" customFormat="false" ht="15" hidden="false" customHeight="false" outlineLevel="0" collapsed="false">
      <c r="A21" s="6" t="s">
        <v>35</v>
      </c>
      <c r="B21" s="6" t="s">
        <v>70</v>
      </c>
      <c r="C21" s="6" t="s">
        <v>71</v>
      </c>
      <c r="D21" s="7" t="n">
        <f aca="false">Manuales!I168</f>
        <v>3.6</v>
      </c>
      <c r="E21" s="7" t="n">
        <f aca="false">Manuales!J168</f>
        <v>4.4</v>
      </c>
      <c r="F21" s="7" t="n">
        <f aca="false">Manuales!L168</f>
        <v>15.84</v>
      </c>
      <c r="G21" s="7" t="n">
        <f aca="false">Manuales!S168</f>
        <v>6.0115</v>
      </c>
      <c r="H21" s="8" t="n">
        <f aca="false">G21/F21</f>
        <v>0.379513888888889</v>
      </c>
      <c r="I21" s="6" t="n">
        <v>1</v>
      </c>
    </row>
    <row r="22" customFormat="false" ht="15" hidden="false" customHeight="false" outlineLevel="0" collapsed="false">
      <c r="A22" s="6" t="s">
        <v>35</v>
      </c>
      <c r="B22" s="6" t="s">
        <v>72</v>
      </c>
      <c r="C22" s="6" t="s">
        <v>73</v>
      </c>
      <c r="D22" s="7" t="n">
        <f aca="false">Manuales!I176</f>
        <v>4.2</v>
      </c>
      <c r="E22" s="7" t="n">
        <f aca="false">Manuales!J176</f>
        <v>3</v>
      </c>
      <c r="F22" s="7" t="n">
        <f aca="false">Manuales!L176</f>
        <v>12.6</v>
      </c>
      <c r="G22" s="7" t="n">
        <f aca="false">Manuales!S176</f>
        <v>4.194</v>
      </c>
      <c r="H22" s="8" t="n">
        <f aca="false">G22/F22</f>
        <v>0.332857142857143</v>
      </c>
      <c r="I22" s="6" t="n">
        <v>1</v>
      </c>
    </row>
    <row r="23" customFormat="false" ht="15" hidden="false" customHeight="false" outlineLevel="0" collapsed="false">
      <c r="A23" s="6" t="s">
        <v>35</v>
      </c>
      <c r="B23" s="6" t="s">
        <v>74</v>
      </c>
      <c r="C23" s="6" t="s">
        <v>75</v>
      </c>
      <c r="D23" s="7" t="n">
        <f aca="false">Manuales!I182</f>
        <v>4.2</v>
      </c>
      <c r="E23" s="7" t="n">
        <f aca="false">Manuales!J182</f>
        <v>2.8</v>
      </c>
      <c r="F23" s="7" t="n">
        <f aca="false">Manuales!L182</f>
        <v>11.76</v>
      </c>
      <c r="G23" s="7" t="n">
        <f aca="false">Manuales!S182</f>
        <v>3.784</v>
      </c>
      <c r="H23" s="8" t="n">
        <f aca="false">G23/F23</f>
        <v>0.321768707482993</v>
      </c>
      <c r="I23" s="6" t="n">
        <v>1</v>
      </c>
    </row>
    <row r="24" customFormat="false" ht="15" hidden="false" customHeight="false" outlineLevel="0" collapsed="false">
      <c r="A24" s="6" t="s">
        <v>35</v>
      </c>
      <c r="B24" s="6" t="s">
        <v>76</v>
      </c>
      <c r="C24" s="6" t="s">
        <v>77</v>
      </c>
      <c r="D24" s="7" t="n">
        <f aca="false">Manuales!I189</f>
        <v>4.2</v>
      </c>
      <c r="E24" s="7" t="n">
        <f aca="false">Manuales!J189</f>
        <v>2.8</v>
      </c>
      <c r="F24" s="7" t="n">
        <f aca="false">Manuales!L189</f>
        <v>11.76</v>
      </c>
      <c r="G24" s="7" t="n">
        <f aca="false">Manuales!S189</f>
        <v>4.924</v>
      </c>
      <c r="H24" s="8" t="n">
        <f aca="false">G24/F24</f>
        <v>0.418707482993197</v>
      </c>
      <c r="I24" s="6" t="n">
        <v>1</v>
      </c>
    </row>
    <row r="25" customFormat="false" ht="15" hidden="false" customHeight="false" outlineLevel="0" collapsed="false">
      <c r="A25" s="6" t="s">
        <v>35</v>
      </c>
      <c r="B25" s="6" t="s">
        <v>78</v>
      </c>
      <c r="C25" s="6" t="s">
        <v>79</v>
      </c>
      <c r="D25" s="7" t="n">
        <f aca="false">Manuales!I196</f>
        <v>4.2</v>
      </c>
      <c r="E25" s="7" t="n">
        <f aca="false">Manuales!J196</f>
        <v>2.4</v>
      </c>
      <c r="F25" s="7" t="n">
        <f aca="false">Manuales!L196</f>
        <v>10.08</v>
      </c>
      <c r="G25" s="7" t="n">
        <f aca="false">Manuales!S196</f>
        <v>4.024</v>
      </c>
      <c r="H25" s="8" t="n">
        <f aca="false">G25/F25</f>
        <v>0.399206349206349</v>
      </c>
      <c r="I25" s="6" t="n">
        <v>1</v>
      </c>
    </row>
    <row r="26" customFormat="false" ht="15" hidden="false" customHeight="false" outlineLevel="0" collapsed="false">
      <c r="A26" s="6" t="s">
        <v>35</v>
      </c>
      <c r="B26" s="6" t="s">
        <v>80</v>
      </c>
      <c r="C26" s="6" t="s">
        <v>81</v>
      </c>
      <c r="D26" s="7" t="n">
        <f aca="false">Manuales!I202</f>
        <v>5.5</v>
      </c>
      <c r="E26" s="7" t="n">
        <f aca="false">Manuales!J202</f>
        <v>6.4</v>
      </c>
      <c r="F26" s="7" t="n">
        <f aca="false">Manuales!L202</f>
        <v>35.2</v>
      </c>
      <c r="G26" s="7" t="n">
        <f aca="false">Manuales!S202</f>
        <v>11.508</v>
      </c>
      <c r="H26" s="8" t="n">
        <f aca="false">G26/F26</f>
        <v>0.326931818181818</v>
      </c>
      <c r="I26" s="6" t="n">
        <v>1</v>
      </c>
    </row>
    <row r="27" customFormat="false" ht="15" hidden="false" customHeight="false" outlineLevel="0" collapsed="false">
      <c r="A27" s="6" t="s">
        <v>35</v>
      </c>
      <c r="B27" s="6" t="s">
        <v>82</v>
      </c>
      <c r="C27" s="6" t="s">
        <v>83</v>
      </c>
      <c r="D27" s="7" t="n">
        <f aca="false">Manuales!I213</f>
        <v>3.35</v>
      </c>
      <c r="E27" s="7" t="n">
        <f aca="false">Manuales!J213</f>
        <v>4.6</v>
      </c>
      <c r="F27" s="7" t="n">
        <f aca="false">Manuales!L213</f>
        <v>15.41</v>
      </c>
      <c r="G27" s="7" t="n">
        <f aca="false">Manuales!S213</f>
        <v>8.7775</v>
      </c>
      <c r="H27" s="8" t="n">
        <f aca="false">G27/F27</f>
        <v>0.56959766385464</v>
      </c>
      <c r="I27" s="6" t="n">
        <v>1</v>
      </c>
    </row>
    <row r="28" customFormat="false" ht="15" hidden="false" customHeight="false" outlineLevel="0" collapsed="false">
      <c r="A28" s="9" t="s">
        <v>35</v>
      </c>
      <c r="B28" s="9"/>
      <c r="C28" s="9" t="s">
        <v>84</v>
      </c>
      <c r="D28" s="9"/>
      <c r="E28" s="9"/>
      <c r="F28" s="10" t="n">
        <f aca="false">SUMPRODUCT(F4:F27,I4:I27)</f>
        <v>611.945</v>
      </c>
      <c r="G28" s="10" t="n">
        <f aca="false">SUM(G4:G27)</f>
        <v>284.5881</v>
      </c>
      <c r="H28" s="11" t="n">
        <f aca="false">G28/F28</f>
        <v>0.465055029455261</v>
      </c>
      <c r="I28" s="9"/>
    </row>
    <row r="30" customFormat="false" ht="15" hidden="false" customHeight="false" outlineLevel="0" collapsed="false">
      <c r="A30" s="6" t="s">
        <v>85</v>
      </c>
      <c r="B30" s="6" t="s">
        <v>36</v>
      </c>
      <c r="C30" s="6" t="s">
        <v>86</v>
      </c>
      <c r="D30" s="7" t="n">
        <f aca="false">Carros!I5</f>
        <v>7</v>
      </c>
      <c r="E30" s="7" t="n">
        <f aca="false">Carros!J5</f>
        <v>10</v>
      </c>
      <c r="F30" s="7" t="n">
        <f aca="false">Carros!L5</f>
        <v>50.62</v>
      </c>
      <c r="G30" s="7" t="n">
        <f aca="false">Carros!S5</f>
        <v>0</v>
      </c>
      <c r="H30" s="8" t="n">
        <f aca="false">G30/F30</f>
        <v>0</v>
      </c>
      <c r="I30" s="6" t="n">
        <v>0</v>
      </c>
    </row>
    <row r="31" customFormat="false" ht="15" hidden="false" customHeight="false" outlineLevel="0" collapsed="false">
      <c r="A31" s="6" t="s">
        <v>85</v>
      </c>
      <c r="B31" s="6" t="s">
        <v>44</v>
      </c>
      <c r="C31" s="6" t="s">
        <v>87</v>
      </c>
      <c r="D31" s="7" t="n">
        <f aca="false">Carros!I8</f>
        <v>3.4</v>
      </c>
      <c r="E31" s="7" t="n">
        <f aca="false">Carros!J8</f>
        <v>3.5</v>
      </c>
      <c r="F31" s="7" t="n">
        <f aca="false">Carros!L8</f>
        <v>11.9</v>
      </c>
      <c r="G31" s="7" t="n">
        <f aca="false">Carros!S8</f>
        <v>0</v>
      </c>
      <c r="H31" s="8" t="n">
        <f aca="false">G31/F31</f>
        <v>0</v>
      </c>
      <c r="I31" s="6" t="n">
        <v>0</v>
      </c>
    </row>
    <row r="32" customFormat="false" ht="15" hidden="false" customHeight="false" outlineLevel="0" collapsed="false">
      <c r="A32" s="6" t="s">
        <v>85</v>
      </c>
      <c r="B32" s="6" t="s">
        <v>88</v>
      </c>
      <c r="C32" s="6" t="s">
        <v>89</v>
      </c>
      <c r="D32" s="7" t="n">
        <f aca="false">Carros!I11</f>
        <v>3.4</v>
      </c>
      <c r="E32" s="7" t="n">
        <f aca="false">Carros!J11</f>
        <v>2.2</v>
      </c>
      <c r="F32" s="7" t="n">
        <f aca="false">Carros!L11</f>
        <v>7.48</v>
      </c>
      <c r="G32" s="7" t="n">
        <f aca="false">Carros!S11</f>
        <v>5.27</v>
      </c>
      <c r="H32" s="8" t="n">
        <f aca="false">G32/F32</f>
        <v>0.704545454545455</v>
      </c>
      <c r="I32" s="6" t="n">
        <v>1</v>
      </c>
    </row>
    <row r="33" customFormat="false" ht="15" hidden="false" customHeight="false" outlineLevel="0" collapsed="false">
      <c r="A33" s="6" t="s">
        <v>85</v>
      </c>
      <c r="B33" s="6" t="s">
        <v>90</v>
      </c>
      <c r="C33" s="6" t="s">
        <v>91</v>
      </c>
      <c r="D33" s="7" t="n">
        <f aca="false">Carros!I14</f>
        <v>7.2</v>
      </c>
      <c r="E33" s="7" t="n">
        <f aca="false">Carros!J14</f>
        <v>4.4</v>
      </c>
      <c r="F33" s="7" t="n">
        <f aca="false">Carros!L14</f>
        <v>31.68</v>
      </c>
      <c r="G33" s="7" t="n">
        <f aca="false">Carros!S14</f>
        <v>9.324</v>
      </c>
      <c r="H33" s="8" t="n">
        <f aca="false">G33/F33</f>
        <v>0.294318181818182</v>
      </c>
      <c r="I33" s="6" t="n">
        <v>1</v>
      </c>
    </row>
    <row r="34" customFormat="false" ht="15" hidden="false" customHeight="false" outlineLevel="0" collapsed="false">
      <c r="A34" s="6" t="s">
        <v>85</v>
      </c>
      <c r="B34" s="6" t="s">
        <v>92</v>
      </c>
      <c r="C34" s="6" t="s">
        <v>93</v>
      </c>
      <c r="D34" s="7" t="n">
        <f aca="false">Carros!I21</f>
        <v>6.2</v>
      </c>
      <c r="E34" s="7" t="n">
        <f aca="false">Carros!J21</f>
        <v>4.3</v>
      </c>
      <c r="F34" s="7" t="n">
        <f aca="false">Carros!L21</f>
        <v>26.66</v>
      </c>
      <c r="G34" s="7" t="n">
        <f aca="false">Carros!S21</f>
        <v>7.56</v>
      </c>
      <c r="H34" s="8" t="n">
        <f aca="false">G34/F34</f>
        <v>0.283570892723181</v>
      </c>
      <c r="I34" s="6" t="n">
        <v>1</v>
      </c>
    </row>
    <row r="35" customFormat="false" ht="15" hidden="false" customHeight="false" outlineLevel="0" collapsed="false">
      <c r="A35" s="6" t="s">
        <v>85</v>
      </c>
      <c r="B35" s="6" t="s">
        <v>94</v>
      </c>
      <c r="C35" s="6" t="s">
        <v>95</v>
      </c>
      <c r="D35" s="7" t="n">
        <f aca="false">Carros!I30</f>
        <v>6.4</v>
      </c>
      <c r="E35" s="7" t="n">
        <f aca="false">Carros!J30</f>
        <v>4.3</v>
      </c>
      <c r="F35" s="7" t="n">
        <f aca="false">Carros!L30</f>
        <v>27.52</v>
      </c>
      <c r="G35" s="7" t="n">
        <f aca="false">Carros!S30</f>
        <v>7.457</v>
      </c>
      <c r="H35" s="8" t="n">
        <f aca="false">G35/F35</f>
        <v>0.270966569767442</v>
      </c>
      <c r="I35" s="6" t="n">
        <v>1</v>
      </c>
    </row>
    <row r="36" customFormat="false" ht="15" hidden="false" customHeight="false" outlineLevel="0" collapsed="false">
      <c r="A36" s="6" t="s">
        <v>85</v>
      </c>
      <c r="B36" s="6" t="s">
        <v>96</v>
      </c>
      <c r="C36" s="6" t="s">
        <v>97</v>
      </c>
      <c r="D36" s="7" t="n">
        <f aca="false">Carros!I38</f>
        <v>4.4</v>
      </c>
      <c r="E36" s="7" t="n">
        <f aca="false">Carros!J38</f>
        <v>4.3</v>
      </c>
      <c r="F36" s="7" t="n">
        <f aca="false">Carros!L38</f>
        <v>18.92</v>
      </c>
      <c r="G36" s="7" t="n">
        <f aca="false">Carros!S38</f>
        <v>3.673</v>
      </c>
      <c r="H36" s="8" t="n">
        <f aca="false">G36/F36</f>
        <v>0.194133192389006</v>
      </c>
      <c r="I36" s="6" t="n">
        <v>1</v>
      </c>
    </row>
    <row r="37" customFormat="false" ht="15" hidden="false" customHeight="false" outlineLevel="0" collapsed="false">
      <c r="A37" s="6" t="s">
        <v>85</v>
      </c>
      <c r="B37" s="6" t="s">
        <v>98</v>
      </c>
      <c r="C37" s="6" t="s">
        <v>99</v>
      </c>
      <c r="D37" s="7" t="n">
        <f aca="false">Carros!I48</f>
        <v>5.6</v>
      </c>
      <c r="E37" s="7" t="n">
        <f aca="false">Carros!J48</f>
        <v>4.3</v>
      </c>
      <c r="F37" s="7" t="n">
        <f aca="false">Carros!L48</f>
        <v>24.08</v>
      </c>
      <c r="G37" s="7" t="n">
        <f aca="false">Carros!S48</f>
        <v>8.629</v>
      </c>
      <c r="H37" s="8" t="n">
        <f aca="false">G37/F37</f>
        <v>0.358347176079734</v>
      </c>
      <c r="I37" s="6" t="n">
        <v>1</v>
      </c>
    </row>
    <row r="38" customFormat="false" ht="15" hidden="false" customHeight="false" outlineLevel="0" collapsed="false">
      <c r="A38" s="6" t="s">
        <v>85</v>
      </c>
      <c r="B38" s="6" t="s">
        <v>100</v>
      </c>
      <c r="C38" s="6" t="s">
        <v>101</v>
      </c>
      <c r="D38" s="7" t="n">
        <f aca="false">Carros!I60</f>
        <v>5</v>
      </c>
      <c r="E38" s="7" t="n">
        <f aca="false">Carros!J60</f>
        <v>4.3</v>
      </c>
      <c r="F38" s="7" t="n">
        <f aca="false">Carros!L60</f>
        <v>21.5</v>
      </c>
      <c r="G38" s="7" t="n">
        <f aca="false">Carros!S60</f>
        <v>7.6725</v>
      </c>
      <c r="H38" s="8" t="n">
        <f aca="false">G38/F38</f>
        <v>0.356860465116279</v>
      </c>
      <c r="I38" s="6" t="n">
        <v>1</v>
      </c>
    </row>
    <row r="39" customFormat="false" ht="15" hidden="false" customHeight="false" outlineLevel="0" collapsed="false">
      <c r="A39" s="6" t="s">
        <v>85</v>
      </c>
      <c r="B39" s="6" t="s">
        <v>102</v>
      </c>
      <c r="C39" s="6" t="s">
        <v>103</v>
      </c>
      <c r="D39" s="7" t="n">
        <f aca="false">Carros!I74</f>
        <v>7.9</v>
      </c>
      <c r="E39" s="7" t="n">
        <f aca="false">Carros!J74</f>
        <v>4.4</v>
      </c>
      <c r="F39" s="7" t="n">
        <f aca="false">Carros!L74</f>
        <v>34.76</v>
      </c>
      <c r="G39" s="7" t="n">
        <f aca="false">Carros!S74</f>
        <v>13.284</v>
      </c>
      <c r="H39" s="8" t="n">
        <f aca="false">G39/F39</f>
        <v>0.382163406214039</v>
      </c>
      <c r="I39" s="6" t="n">
        <v>1</v>
      </c>
    </row>
    <row r="40" customFormat="false" ht="15" hidden="false" customHeight="false" outlineLevel="0" collapsed="false">
      <c r="A40" s="6" t="s">
        <v>85</v>
      </c>
      <c r="B40" s="6" t="s">
        <v>104</v>
      </c>
      <c r="C40" s="6" t="s">
        <v>105</v>
      </c>
      <c r="D40" s="7" t="n">
        <f aca="false">Carros!I86</f>
        <v>1.5</v>
      </c>
      <c r="E40" s="7" t="n">
        <f aca="false">Carros!J86</f>
        <v>4.4</v>
      </c>
      <c r="F40" s="7" t="n">
        <f aca="false">Carros!L86</f>
        <v>6.6</v>
      </c>
      <c r="G40" s="7" t="n">
        <f aca="false">Carros!S86</f>
        <v>2.378</v>
      </c>
      <c r="H40" s="8" t="n">
        <f aca="false">G40/F40</f>
        <v>0.36030303030303</v>
      </c>
      <c r="I40" s="6" t="n">
        <v>1</v>
      </c>
    </row>
    <row r="41" customFormat="false" ht="15" hidden="false" customHeight="false" outlineLevel="0" collapsed="false">
      <c r="A41" s="6" t="s">
        <v>85</v>
      </c>
      <c r="B41" s="6" t="s">
        <v>62</v>
      </c>
      <c r="C41" s="6" t="s">
        <v>106</v>
      </c>
      <c r="D41" s="7" t="n">
        <f aca="false">Carros!I90</f>
        <v>10.2</v>
      </c>
      <c r="E41" s="7" t="n">
        <f aca="false">Carros!J90</f>
        <v>5.95</v>
      </c>
      <c r="F41" s="7" t="n">
        <f aca="false">Carros!L90</f>
        <v>60.69</v>
      </c>
      <c r="G41" s="7" t="n">
        <f aca="false">Carros!S90</f>
        <v>4.684</v>
      </c>
      <c r="H41" s="8" t="n">
        <f aca="false">G41/F41</f>
        <v>0.0771791069368924</v>
      </c>
      <c r="I41" s="6" t="n">
        <v>0</v>
      </c>
    </row>
    <row r="42" customFormat="false" ht="15" hidden="false" customHeight="false" outlineLevel="0" collapsed="false">
      <c r="A42" s="6" t="s">
        <v>85</v>
      </c>
      <c r="B42" s="6" t="s">
        <v>107</v>
      </c>
      <c r="C42" s="6" t="s">
        <v>108</v>
      </c>
      <c r="D42" s="7" t="n">
        <f aca="false">Carros!I97</f>
        <v>6.3</v>
      </c>
      <c r="E42" s="7" t="n">
        <f aca="false">Carros!J97</f>
        <v>5.45</v>
      </c>
      <c r="F42" s="7" t="n">
        <f aca="false">Carros!L97</f>
        <v>34.335</v>
      </c>
      <c r="G42" s="7" t="n">
        <f aca="false">Carros!S97</f>
        <v>22.1688</v>
      </c>
      <c r="H42" s="8" t="n">
        <f aca="false">G42/F42</f>
        <v>0.645661861074705</v>
      </c>
      <c r="I42" s="6" t="n">
        <v>1</v>
      </c>
    </row>
    <row r="43" customFormat="false" ht="15" hidden="false" customHeight="false" outlineLevel="0" collapsed="false">
      <c r="A43" s="6" t="s">
        <v>85</v>
      </c>
      <c r="B43" s="6" t="s">
        <v>109</v>
      </c>
      <c r="C43" s="6" t="s">
        <v>110</v>
      </c>
      <c r="D43" s="7" t="n">
        <f aca="false">Carros!I102</f>
        <v>9.9</v>
      </c>
      <c r="E43" s="7" t="n">
        <f aca="false">Carros!J102</f>
        <v>4.5</v>
      </c>
      <c r="F43" s="7" t="n">
        <f aca="false">Carros!L102</f>
        <v>44.55</v>
      </c>
      <c r="G43" s="7" t="n">
        <f aca="false">Carros!S102</f>
        <v>27.064</v>
      </c>
      <c r="H43" s="8" t="n">
        <f aca="false">G43/F43</f>
        <v>0.607497194163861</v>
      </c>
      <c r="I43" s="6" t="n">
        <v>1</v>
      </c>
    </row>
    <row r="44" customFormat="false" ht="15" hidden="false" customHeight="false" outlineLevel="0" collapsed="false">
      <c r="A44" s="6" t="s">
        <v>85</v>
      </c>
      <c r="B44" s="6" t="s">
        <v>111</v>
      </c>
      <c r="C44" s="6" t="s">
        <v>112</v>
      </c>
      <c r="D44" s="7" t="n">
        <f aca="false">Carros!I110</f>
        <v>12.3</v>
      </c>
      <c r="E44" s="7" t="n">
        <f aca="false">Carros!J110</f>
        <v>4.35</v>
      </c>
      <c r="F44" s="7" t="n">
        <f aca="false">Carros!L110</f>
        <v>53.505</v>
      </c>
      <c r="G44" s="7" t="n">
        <f aca="false">Carros!S110</f>
        <v>21.684</v>
      </c>
      <c r="H44" s="8" t="n">
        <f aca="false">G44/F44</f>
        <v>0.405270535463975</v>
      </c>
      <c r="I44" s="6" t="n">
        <v>1</v>
      </c>
    </row>
    <row r="45" customFormat="false" ht="15" hidden="false" customHeight="false" outlineLevel="0" collapsed="false">
      <c r="A45" s="6" t="s">
        <v>85</v>
      </c>
      <c r="B45" s="6" t="s">
        <v>113</v>
      </c>
      <c r="C45" s="6" t="s">
        <v>114</v>
      </c>
      <c r="D45" s="7" t="n">
        <f aca="false">Carros!I119</f>
        <v>2.4</v>
      </c>
      <c r="E45" s="7" t="n">
        <f aca="false">Carros!J119</f>
        <v>4.5</v>
      </c>
      <c r="F45" s="7" t="n">
        <f aca="false">Carros!L119</f>
        <v>10.8</v>
      </c>
      <c r="G45" s="7" t="n">
        <f aca="false">Carros!S119</f>
        <v>6.27</v>
      </c>
      <c r="H45" s="8" t="n">
        <f aca="false">G45/F45</f>
        <v>0.580555555555556</v>
      </c>
      <c r="I45" s="6" t="n">
        <v>1</v>
      </c>
    </row>
    <row r="46" customFormat="false" ht="15" hidden="false" customHeight="false" outlineLevel="0" collapsed="false">
      <c r="A46" s="6" t="s">
        <v>85</v>
      </c>
      <c r="B46" s="6" t="s">
        <v>115</v>
      </c>
      <c r="C46" s="6" t="s">
        <v>116</v>
      </c>
      <c r="D46" s="7" t="n">
        <f aca="false">Carros!I123</f>
        <v>9.4</v>
      </c>
      <c r="E46" s="7" t="n">
        <f aca="false">Carros!J123</f>
        <v>2</v>
      </c>
      <c r="F46" s="7" t="n">
        <f aca="false">Carros!L123</f>
        <v>18.8</v>
      </c>
      <c r="G46" s="7" t="n">
        <f aca="false">Carros!S123</f>
        <v>10.4425</v>
      </c>
      <c r="H46" s="8" t="n">
        <f aca="false">G46/F46</f>
        <v>0.555452127659575</v>
      </c>
      <c r="I46" s="6" t="n">
        <v>1</v>
      </c>
    </row>
    <row r="47" customFormat="false" ht="15" hidden="false" customHeight="false" outlineLevel="0" collapsed="false">
      <c r="A47" s="6" t="s">
        <v>85</v>
      </c>
      <c r="B47" s="6" t="s">
        <v>117</v>
      </c>
      <c r="C47" s="6" t="s">
        <v>118</v>
      </c>
      <c r="D47" s="7" t="n">
        <f aca="false">Carros!I128</f>
        <v>9.4</v>
      </c>
      <c r="E47" s="7" t="n">
        <f aca="false">Carros!J128</f>
        <v>1.8</v>
      </c>
      <c r="F47" s="7" t="n">
        <f aca="false">Carros!L128</f>
        <v>16.92</v>
      </c>
      <c r="G47" s="7" t="n">
        <f aca="false">Carros!S128</f>
        <v>7.5415</v>
      </c>
      <c r="H47" s="8" t="n">
        <f aca="false">G47/F47</f>
        <v>0.445715130023641</v>
      </c>
      <c r="I47" s="6" t="n">
        <v>1</v>
      </c>
    </row>
    <row r="48" customFormat="false" ht="15" hidden="false" customHeight="false" outlineLevel="0" collapsed="false">
      <c r="A48" s="6" t="s">
        <v>85</v>
      </c>
      <c r="B48" s="6" t="s">
        <v>119</v>
      </c>
      <c r="C48" s="6" t="s">
        <v>120</v>
      </c>
      <c r="D48" s="7" t="n">
        <f aca="false">Carros!I138</f>
        <v>6.5</v>
      </c>
      <c r="E48" s="7" t="n">
        <f aca="false">Carros!J138</f>
        <v>4.5</v>
      </c>
      <c r="F48" s="7" t="n">
        <f aca="false">Carros!L138</f>
        <v>29.25</v>
      </c>
      <c r="G48" s="7" t="n">
        <f aca="false">Carros!S138</f>
        <v>11.7415</v>
      </c>
      <c r="H48" s="8" t="n">
        <f aca="false">G48/F48</f>
        <v>0.401418803418803</v>
      </c>
      <c r="I48" s="6" t="n">
        <v>1</v>
      </c>
    </row>
    <row r="49" customFormat="false" ht="15" hidden="false" customHeight="false" outlineLevel="0" collapsed="false">
      <c r="A49" s="6" t="s">
        <v>85</v>
      </c>
      <c r="B49" s="6" t="s">
        <v>121</v>
      </c>
      <c r="C49" s="6" t="s">
        <v>122</v>
      </c>
      <c r="D49" s="7" t="n">
        <f aca="false">Carros!I147</f>
        <v>3.9</v>
      </c>
      <c r="E49" s="7" t="n">
        <f aca="false">Carros!J147</f>
        <v>5</v>
      </c>
      <c r="F49" s="7" t="n">
        <f aca="false">Carros!L147</f>
        <v>19.5</v>
      </c>
      <c r="G49" s="7" t="n">
        <f aca="false">Carros!S147</f>
        <v>4.324</v>
      </c>
      <c r="H49" s="8" t="n">
        <f aca="false">G49/F49</f>
        <v>0.22174358974359</v>
      </c>
      <c r="I49" s="6" t="n">
        <v>1</v>
      </c>
    </row>
    <row r="50" customFormat="false" ht="15" hidden="false" customHeight="false" outlineLevel="0" collapsed="false">
      <c r="A50" s="9" t="s">
        <v>85</v>
      </c>
      <c r="B50" s="9"/>
      <c r="C50" s="9" t="s">
        <v>123</v>
      </c>
      <c r="D50" s="9"/>
      <c r="E50" s="9"/>
      <c r="F50" s="10" t="n">
        <f aca="false">SUMPRODUCT(F30:F49,I30:I49)</f>
        <v>426.86</v>
      </c>
      <c r="G50" s="10" t="n">
        <f aca="false">SUM(G30:G49)</f>
        <v>181.1678</v>
      </c>
      <c r="H50" s="11" t="n">
        <f aca="false">G50/F50</f>
        <v>0.424419716066158</v>
      </c>
      <c r="I50" s="9"/>
    </row>
    <row r="52" customFormat="false" ht="15" hidden="false" customHeight="false" outlineLevel="0" collapsed="false">
      <c r="A52" s="6" t="s">
        <v>124</v>
      </c>
      <c r="B52" s="6" t="s">
        <v>125</v>
      </c>
      <c r="C52" s="6" t="s">
        <v>126</v>
      </c>
      <c r="D52" s="7" t="n">
        <f aca="false">Recargas!I5</f>
        <v>3.2</v>
      </c>
      <c r="E52" s="7" t="n">
        <f aca="false">Recargas!J5</f>
        <v>1.8</v>
      </c>
      <c r="F52" s="7" t="n">
        <f aca="false">Recargas!L5</f>
        <v>5.76</v>
      </c>
      <c r="G52" s="7" t="n">
        <f aca="false">Recargas!S5</f>
        <v>1.8955</v>
      </c>
      <c r="H52" s="8" t="n">
        <f aca="false">G52/F52</f>
        <v>0.329079861111111</v>
      </c>
      <c r="I52" s="6" t="n">
        <v>1</v>
      </c>
    </row>
    <row r="53" customFormat="false" ht="15" hidden="false" customHeight="false" outlineLevel="0" collapsed="false">
      <c r="A53" s="6" t="s">
        <v>124</v>
      </c>
      <c r="B53" s="6" t="s">
        <v>127</v>
      </c>
      <c r="C53" s="6" t="s">
        <v>128</v>
      </c>
      <c r="D53" s="7" t="n">
        <f aca="false">Recargas!I12</f>
        <v>3.2</v>
      </c>
      <c r="E53" s="7" t="n">
        <f aca="false">Recargas!J12</f>
        <v>1.7</v>
      </c>
      <c r="F53" s="7" t="n">
        <f aca="false">Recargas!L12</f>
        <v>5.44</v>
      </c>
      <c r="G53" s="7" t="n">
        <f aca="false">Recargas!S12</f>
        <v>1.748</v>
      </c>
      <c r="H53" s="8" t="n">
        <f aca="false">G53/F53</f>
        <v>0.321323529411765</v>
      </c>
      <c r="I53" s="6" t="n">
        <v>1</v>
      </c>
    </row>
    <row r="54" customFormat="false" ht="15" hidden="false" customHeight="false" outlineLevel="0" collapsed="false">
      <c r="A54" s="6" t="s">
        <v>124</v>
      </c>
      <c r="B54" s="6" t="s">
        <v>129</v>
      </c>
      <c r="C54" s="6" t="s">
        <v>130</v>
      </c>
      <c r="D54" s="7" t="n">
        <f aca="false">Recargas!I21</f>
        <v>2</v>
      </c>
      <c r="E54" s="7" t="n">
        <f aca="false">Recargas!J21</f>
        <v>2.9</v>
      </c>
      <c r="F54" s="7" t="n">
        <f aca="false">Recargas!L21</f>
        <v>5.8</v>
      </c>
      <c r="G54" s="7" t="n">
        <f aca="false">Recargas!S21</f>
        <v>1.4115</v>
      </c>
      <c r="H54" s="8" t="n">
        <f aca="false">G54/F54</f>
        <v>0.243362068965517</v>
      </c>
      <c r="I54" s="6" t="n">
        <v>1</v>
      </c>
    </row>
    <row r="55" customFormat="false" ht="15" hidden="false" customHeight="false" outlineLevel="0" collapsed="false">
      <c r="A55" s="6" t="s">
        <v>124</v>
      </c>
      <c r="B55" s="6" t="s">
        <v>131</v>
      </c>
      <c r="C55" s="6" t="s">
        <v>132</v>
      </c>
      <c r="D55" s="7" t="n">
        <f aca="false">Recargas!I25</f>
        <v>2</v>
      </c>
      <c r="E55" s="7" t="n">
        <f aca="false">Recargas!J25</f>
        <v>2</v>
      </c>
      <c r="F55" s="7" t="n">
        <f aca="false">Recargas!L25</f>
        <v>4</v>
      </c>
      <c r="G55" s="7" t="n">
        <f aca="false">Recargas!S25</f>
        <v>0.924</v>
      </c>
      <c r="H55" s="8" t="n">
        <f aca="false">G55/F55</f>
        <v>0.231</v>
      </c>
      <c r="I55" s="6" t="n">
        <v>1</v>
      </c>
    </row>
    <row r="56" customFormat="false" ht="15" hidden="false" customHeight="false" outlineLevel="0" collapsed="false">
      <c r="A56" s="6" t="s">
        <v>124</v>
      </c>
      <c r="B56" s="6" t="s">
        <v>133</v>
      </c>
      <c r="C56" s="6" t="s">
        <v>134</v>
      </c>
      <c r="D56" s="7" t="n">
        <f aca="false">Recargas!I30</f>
        <v>2</v>
      </c>
      <c r="E56" s="7" t="n">
        <f aca="false">Recargas!J30</f>
        <v>1.95</v>
      </c>
      <c r="F56" s="7" t="n">
        <f aca="false">Recargas!L30</f>
        <v>3.9</v>
      </c>
      <c r="G56" s="7" t="n">
        <f aca="false">Recargas!S30</f>
        <v>1.744</v>
      </c>
      <c r="H56" s="8" t="n">
        <f aca="false">G56/F56</f>
        <v>0.447179487179487</v>
      </c>
      <c r="I56" s="6" t="n">
        <v>1</v>
      </c>
    </row>
    <row r="57" customFormat="false" ht="15" hidden="false" customHeight="false" outlineLevel="0" collapsed="false">
      <c r="A57" s="6" t="s">
        <v>124</v>
      </c>
      <c r="B57" s="6" t="s">
        <v>135</v>
      </c>
      <c r="C57" s="6" t="s">
        <v>136</v>
      </c>
      <c r="D57" s="7" t="n">
        <f aca="false">Recargas!I34</f>
        <v>3.2</v>
      </c>
      <c r="E57" s="7" t="n">
        <f aca="false">Recargas!J34</f>
        <v>3.7</v>
      </c>
      <c r="F57" s="7" t="n">
        <f aca="false">Recargas!L34</f>
        <v>11.84</v>
      </c>
      <c r="G57" s="7" t="n">
        <f aca="false">Recargas!S34</f>
        <v>4.4676</v>
      </c>
      <c r="H57" s="8" t="n">
        <f aca="false">G57/F57</f>
        <v>0.377331081081081</v>
      </c>
      <c r="I57" s="6" t="n">
        <v>1</v>
      </c>
    </row>
    <row r="58" customFormat="false" ht="15" hidden="false" customHeight="false" outlineLevel="0" collapsed="false">
      <c r="A58" s="6" t="s">
        <v>124</v>
      </c>
      <c r="B58" s="6" t="s">
        <v>137</v>
      </c>
      <c r="C58" s="6" t="s">
        <v>138</v>
      </c>
      <c r="D58" s="7" t="n">
        <f aca="false">Recargas!I46</f>
        <v>4</v>
      </c>
      <c r="E58" s="7" t="n">
        <f aca="false">Recargas!J46</f>
        <v>1.6</v>
      </c>
      <c r="F58" s="7" t="n">
        <f aca="false">Recargas!L46</f>
        <v>6.4</v>
      </c>
      <c r="G58" s="7" t="n">
        <f aca="false">Recargas!S46</f>
        <v>1.854</v>
      </c>
      <c r="H58" s="8" t="n">
        <f aca="false">G58/F58</f>
        <v>0.2896875</v>
      </c>
      <c r="I58" s="6" t="n">
        <v>1</v>
      </c>
    </row>
    <row r="59" customFormat="false" ht="15" hidden="false" customHeight="false" outlineLevel="0" collapsed="false">
      <c r="A59" s="6" t="s">
        <v>124</v>
      </c>
      <c r="B59" s="6" t="s">
        <v>139</v>
      </c>
      <c r="C59" s="6" t="s">
        <v>140</v>
      </c>
      <c r="D59" s="7" t="n">
        <f aca="false">Recargas!I52</f>
        <v>3.2</v>
      </c>
      <c r="E59" s="7" t="n">
        <f aca="false">Recargas!J52</f>
        <v>1.8</v>
      </c>
      <c r="F59" s="7" t="n">
        <f aca="false">Recargas!L52</f>
        <v>5.76</v>
      </c>
      <c r="G59" s="7" t="n">
        <f aca="false">Recargas!S52</f>
        <v>1.424</v>
      </c>
      <c r="H59" s="8" t="n">
        <f aca="false">G59/F59</f>
        <v>0.247222222222222</v>
      </c>
      <c r="I59" s="6" t="n">
        <v>1</v>
      </c>
    </row>
    <row r="60" customFormat="false" ht="15" hidden="false" customHeight="false" outlineLevel="0" collapsed="false">
      <c r="A60" s="6" t="s">
        <v>124</v>
      </c>
      <c r="B60" s="6" t="s">
        <v>141</v>
      </c>
      <c r="C60" s="6" t="s">
        <v>142</v>
      </c>
      <c r="D60" s="7" t="n">
        <f aca="false">Recargas!I58</f>
        <v>2</v>
      </c>
      <c r="E60" s="7" t="n">
        <f aca="false">Recargas!J58</f>
        <v>3.05</v>
      </c>
      <c r="F60" s="7" t="n">
        <f aca="false">Recargas!L58</f>
        <v>6.1</v>
      </c>
      <c r="G60" s="7" t="n">
        <f aca="false">Recargas!S58</f>
        <v>2.148</v>
      </c>
      <c r="H60" s="8" t="n">
        <f aca="false">G60/F60</f>
        <v>0.352131147540984</v>
      </c>
      <c r="I60" s="6" t="n">
        <v>1</v>
      </c>
    </row>
    <row r="61" customFormat="false" ht="15" hidden="false" customHeight="false" outlineLevel="0" collapsed="false">
      <c r="A61" s="6" t="s">
        <v>124</v>
      </c>
      <c r="B61" s="6" t="s">
        <v>143</v>
      </c>
      <c r="C61" s="6" t="s">
        <v>144</v>
      </c>
      <c r="D61" s="7" t="n">
        <f aca="false">Recargas!I65</f>
        <v>3.2</v>
      </c>
      <c r="E61" s="7" t="n">
        <f aca="false">Recargas!J65</f>
        <v>1.8</v>
      </c>
      <c r="F61" s="7" t="n">
        <f aca="false">Recargas!L65</f>
        <v>5.76</v>
      </c>
      <c r="G61" s="7" t="n">
        <f aca="false">Recargas!S65</f>
        <v>1.8165</v>
      </c>
      <c r="H61" s="8" t="n">
        <f aca="false">G61/F61</f>
        <v>0.315364583333333</v>
      </c>
      <c r="I61" s="6" t="n">
        <v>1</v>
      </c>
    </row>
    <row r="62" customFormat="false" ht="15" hidden="false" customHeight="false" outlineLevel="0" collapsed="false">
      <c r="A62" s="6" t="s">
        <v>124</v>
      </c>
      <c r="B62" s="6" t="s">
        <v>145</v>
      </c>
      <c r="C62" s="6" t="s">
        <v>146</v>
      </c>
      <c r="D62" s="7" t="n">
        <f aca="false">Recargas!I71</f>
        <v>3.2</v>
      </c>
      <c r="E62" s="7" t="n">
        <f aca="false">Recargas!J71</f>
        <v>3.6</v>
      </c>
      <c r="F62" s="7" t="n">
        <f aca="false">Recargas!L71</f>
        <v>11.52</v>
      </c>
      <c r="G62" s="7" t="n">
        <f aca="false">Recargas!S71</f>
        <v>5.904</v>
      </c>
      <c r="H62" s="8" t="n">
        <f aca="false">G62/F62</f>
        <v>0.5125</v>
      </c>
      <c r="I62" s="6" t="n">
        <v>1</v>
      </c>
    </row>
    <row r="63" customFormat="false" ht="15" hidden="false" customHeight="false" outlineLevel="0" collapsed="false">
      <c r="A63" s="6" t="s">
        <v>124</v>
      </c>
      <c r="B63" s="6" t="s">
        <v>147</v>
      </c>
      <c r="C63" s="6" t="s">
        <v>148</v>
      </c>
      <c r="D63" s="7" t="n">
        <f aca="false">Recargas!I80</f>
        <v>4</v>
      </c>
      <c r="E63" s="7" t="n">
        <f aca="false">Recargas!J80</f>
        <v>2.9</v>
      </c>
      <c r="F63" s="7" t="n">
        <f aca="false">Recargas!L80</f>
        <v>11.6</v>
      </c>
      <c r="G63" s="7" t="n">
        <f aca="false">Recargas!S80</f>
        <v>2.2116</v>
      </c>
      <c r="H63" s="8" t="n">
        <f aca="false">G63/F63</f>
        <v>0.190655172413793</v>
      </c>
      <c r="I63" s="6" t="n">
        <v>1</v>
      </c>
    </row>
    <row r="64" customFormat="false" ht="15" hidden="false" customHeight="false" outlineLevel="0" collapsed="false">
      <c r="A64" s="6" t="s">
        <v>124</v>
      </c>
      <c r="B64" s="6" t="s">
        <v>149</v>
      </c>
      <c r="C64" s="6" t="s">
        <v>150</v>
      </c>
      <c r="D64" s="7" t="n">
        <f aca="false">Recargas!I87</f>
        <v>4</v>
      </c>
      <c r="E64" s="7" t="n">
        <f aca="false">Recargas!J87</f>
        <v>1.6</v>
      </c>
      <c r="F64" s="7" t="n">
        <f aca="false">Recargas!L87</f>
        <v>6.4</v>
      </c>
      <c r="G64" s="7" t="n">
        <f aca="false">Recargas!S87</f>
        <v>1.914</v>
      </c>
      <c r="H64" s="8" t="n">
        <f aca="false">G64/F64</f>
        <v>0.2990625</v>
      </c>
      <c r="I64" s="6" t="n">
        <v>1</v>
      </c>
    </row>
    <row r="65" customFormat="false" ht="15" hidden="false" customHeight="false" outlineLevel="0" collapsed="false">
      <c r="A65" s="6" t="s">
        <v>124</v>
      </c>
      <c r="B65" s="6" t="s">
        <v>151</v>
      </c>
      <c r="C65" s="6" t="s">
        <v>152</v>
      </c>
      <c r="D65" s="7" t="n">
        <f aca="false">Recargas!I93</f>
        <v>2</v>
      </c>
      <c r="E65" s="7" t="n">
        <f aca="false">Recargas!J93</f>
        <v>3.05</v>
      </c>
      <c r="F65" s="7" t="n">
        <f aca="false">Recargas!L93</f>
        <v>6.1</v>
      </c>
      <c r="G65" s="7" t="n">
        <f aca="false">Recargas!S93</f>
        <v>0.9912</v>
      </c>
      <c r="H65" s="8" t="n">
        <f aca="false">G65/F65</f>
        <v>0.162491803278689</v>
      </c>
      <c r="I65" s="6" t="n">
        <v>1</v>
      </c>
    </row>
    <row r="66" customFormat="false" ht="15" hidden="false" customHeight="false" outlineLevel="0" collapsed="false">
      <c r="A66" s="6" t="s">
        <v>124</v>
      </c>
      <c r="B66" s="6" t="s">
        <v>153</v>
      </c>
      <c r="C66" s="6" t="s">
        <v>154</v>
      </c>
      <c r="D66" s="7" t="n">
        <f aca="false">Recargas!I100</f>
        <v>2</v>
      </c>
      <c r="E66" s="7" t="n">
        <f aca="false">Recargas!J100</f>
        <v>3.35</v>
      </c>
      <c r="F66" s="7" t="n">
        <f aca="false">Recargas!L100</f>
        <v>6.7</v>
      </c>
      <c r="G66" s="7" t="n">
        <f aca="false">Recargas!S100</f>
        <v>2.453</v>
      </c>
      <c r="H66" s="8" t="n">
        <f aca="false">G66/F66</f>
        <v>0.366119402985075</v>
      </c>
      <c r="I66" s="6" t="n">
        <v>1</v>
      </c>
    </row>
    <row r="67" customFormat="false" ht="15" hidden="false" customHeight="false" outlineLevel="0" collapsed="false">
      <c r="A67" s="6" t="s">
        <v>124</v>
      </c>
      <c r="B67" s="6" t="s">
        <v>155</v>
      </c>
      <c r="C67" s="6" t="s">
        <v>156</v>
      </c>
      <c r="D67" s="7" t="n">
        <f aca="false">Recargas!I109</f>
        <v>2</v>
      </c>
      <c r="E67" s="7" t="n">
        <f aca="false">Recargas!J109</f>
        <v>2.25</v>
      </c>
      <c r="F67" s="7" t="n">
        <f aca="false">Recargas!L109</f>
        <v>4.5</v>
      </c>
      <c r="G67" s="7" t="n">
        <f aca="false">Recargas!S109</f>
        <v>1.6375</v>
      </c>
      <c r="H67" s="8" t="n">
        <f aca="false">G67/F67</f>
        <v>0.363888888888889</v>
      </c>
      <c r="I67" s="6" t="n">
        <v>1</v>
      </c>
    </row>
    <row r="68" customFormat="false" ht="15" hidden="false" customHeight="false" outlineLevel="0" collapsed="false">
      <c r="A68" s="6" t="s">
        <v>124</v>
      </c>
      <c r="B68" s="6" t="s">
        <v>157</v>
      </c>
      <c r="C68" s="6" t="s">
        <v>158</v>
      </c>
      <c r="D68" s="7" t="n">
        <f aca="false">Recargas!I116</f>
        <v>2</v>
      </c>
      <c r="E68" s="7" t="n">
        <f aca="false">Recargas!J116</f>
        <v>2.55</v>
      </c>
      <c r="F68" s="7" t="n">
        <f aca="false">Recargas!L116</f>
        <v>5.1</v>
      </c>
      <c r="G68" s="7" t="n">
        <f aca="false">Recargas!S116</f>
        <v>1.853</v>
      </c>
      <c r="H68" s="8" t="n">
        <f aca="false">G68/F68</f>
        <v>0.363333333333333</v>
      </c>
      <c r="I68" s="6" t="n">
        <v>1</v>
      </c>
    </row>
    <row r="69" customFormat="false" ht="15" hidden="false" customHeight="false" outlineLevel="0" collapsed="false">
      <c r="A69" s="6" t="s">
        <v>124</v>
      </c>
      <c r="B69" s="6" t="s">
        <v>159</v>
      </c>
      <c r="C69" s="6" t="s">
        <v>160</v>
      </c>
      <c r="D69" s="7" t="n">
        <f aca="false">Recargas!I122</f>
        <v>2</v>
      </c>
      <c r="E69" s="7" t="n">
        <f aca="false">Recargas!J122</f>
        <v>1.6</v>
      </c>
      <c r="F69" s="7" t="n">
        <f aca="false">Recargas!L122</f>
        <v>3.2</v>
      </c>
      <c r="G69" s="7" t="n">
        <f aca="false">Recargas!S122</f>
        <v>0.999</v>
      </c>
      <c r="H69" s="8" t="n">
        <f aca="false">G69/F69</f>
        <v>0.3121875</v>
      </c>
      <c r="I69" s="6" t="n">
        <v>1</v>
      </c>
    </row>
    <row r="70" customFormat="false" ht="15" hidden="false" customHeight="false" outlineLevel="0" collapsed="false">
      <c r="A70" s="6" t="s">
        <v>124</v>
      </c>
      <c r="B70" s="6" t="s">
        <v>161</v>
      </c>
      <c r="C70" s="6" t="s">
        <v>162</v>
      </c>
      <c r="D70" s="7" t="n">
        <f aca="false">Recargas!I127</f>
        <v>4</v>
      </c>
      <c r="E70" s="7" t="n">
        <f aca="false">Recargas!J127</f>
        <v>1.8</v>
      </c>
      <c r="F70" s="7" t="n">
        <f aca="false">Recargas!L127</f>
        <v>7.2</v>
      </c>
      <c r="G70" s="7" t="n">
        <f aca="false">Recargas!S127</f>
        <v>1.419</v>
      </c>
      <c r="H70" s="8" t="n">
        <f aca="false">G70/F70</f>
        <v>0.197083333333333</v>
      </c>
      <c r="I70" s="6" t="n">
        <v>1</v>
      </c>
    </row>
    <row r="71" customFormat="false" ht="15" hidden="false" customHeight="false" outlineLevel="0" collapsed="false">
      <c r="A71" s="6" t="s">
        <v>124</v>
      </c>
      <c r="B71" s="6" t="s">
        <v>163</v>
      </c>
      <c r="C71" s="6" t="s">
        <v>164</v>
      </c>
      <c r="D71" s="7" t="n">
        <f aca="false">Recargas!I133</f>
        <v>4</v>
      </c>
      <c r="E71" s="7" t="n">
        <f aca="false">Recargas!J133</f>
        <v>2.7</v>
      </c>
      <c r="F71" s="7" t="n">
        <f aca="false">Recargas!L133</f>
        <v>10.8</v>
      </c>
      <c r="G71" s="7" t="n">
        <f aca="false">Recargas!S133</f>
        <v>3.413</v>
      </c>
      <c r="H71" s="8" t="n">
        <f aca="false">G71/F71</f>
        <v>0.316018518518519</v>
      </c>
      <c r="I71" s="6" t="n">
        <v>1</v>
      </c>
    </row>
    <row r="72" customFormat="false" ht="15" hidden="false" customHeight="false" outlineLevel="0" collapsed="false">
      <c r="A72" s="6" t="s">
        <v>124</v>
      </c>
      <c r="B72" s="6" t="s">
        <v>165</v>
      </c>
      <c r="C72" s="6" t="s">
        <v>166</v>
      </c>
      <c r="D72" s="7" t="n">
        <f aca="false">Recargas!I141</f>
        <v>4</v>
      </c>
      <c r="E72" s="7" t="n">
        <f aca="false">Recargas!J141</f>
        <v>1.8</v>
      </c>
      <c r="F72" s="7" t="n">
        <f aca="false">Recargas!L141</f>
        <v>7.2</v>
      </c>
      <c r="G72" s="7" t="n">
        <f aca="false">Recargas!S141</f>
        <v>2.2605</v>
      </c>
      <c r="H72" s="8" t="n">
        <f aca="false">G72/F72</f>
        <v>0.313958333333333</v>
      </c>
      <c r="I72" s="6" t="n">
        <v>1</v>
      </c>
    </row>
    <row r="73" customFormat="false" ht="15" hidden="false" customHeight="false" outlineLevel="0" collapsed="false">
      <c r="A73" s="6" t="s">
        <v>124</v>
      </c>
      <c r="B73" s="6" t="s">
        <v>167</v>
      </c>
      <c r="C73" s="6" t="s">
        <v>168</v>
      </c>
      <c r="D73" s="7" t="n">
        <f aca="false">Recargas!I148</f>
        <v>3.2</v>
      </c>
      <c r="E73" s="7" t="n">
        <f aca="false">Recargas!J148</f>
        <v>2.5</v>
      </c>
      <c r="F73" s="7" t="n">
        <f aca="false">Recargas!L148</f>
        <v>8</v>
      </c>
      <c r="G73" s="7" t="n">
        <f aca="false">Recargas!S148</f>
        <v>1.619</v>
      </c>
      <c r="H73" s="8" t="n">
        <f aca="false">G73/F73</f>
        <v>0.202375</v>
      </c>
      <c r="I73" s="6" t="n">
        <v>1</v>
      </c>
    </row>
    <row r="74" customFormat="false" ht="15" hidden="false" customHeight="false" outlineLevel="0" collapsed="false">
      <c r="A74" s="6" t="s">
        <v>124</v>
      </c>
      <c r="B74" s="6" t="s">
        <v>169</v>
      </c>
      <c r="C74" s="6" t="s">
        <v>170</v>
      </c>
      <c r="D74" s="7" t="n">
        <f aca="false">Recargas!I156</f>
        <v>4</v>
      </c>
      <c r="E74" s="7" t="n">
        <f aca="false">Recargas!J156</f>
        <v>4.5</v>
      </c>
      <c r="F74" s="7" t="n">
        <f aca="false">Recargas!L156</f>
        <v>16.72</v>
      </c>
      <c r="G74" s="7" t="n">
        <f aca="false">Recargas!S156</f>
        <v>1.5</v>
      </c>
      <c r="H74" s="8" t="n">
        <f aca="false">G74/F74</f>
        <v>0.0897129186602871</v>
      </c>
      <c r="I74" s="6" t="n">
        <v>1</v>
      </c>
    </row>
    <row r="75" customFormat="false" ht="15" hidden="false" customHeight="false" outlineLevel="0" collapsed="false">
      <c r="A75" s="6" t="s">
        <v>124</v>
      </c>
      <c r="B75" s="6" t="s">
        <v>171</v>
      </c>
      <c r="C75" s="6" t="s">
        <v>172</v>
      </c>
      <c r="D75" s="7" t="n">
        <f aca="false">Recargas!I159</f>
        <v>2</v>
      </c>
      <c r="E75" s="7" t="n">
        <f aca="false">Recargas!J159</f>
        <v>0.95</v>
      </c>
      <c r="F75" s="7" t="n">
        <f aca="false">Recargas!L159</f>
        <v>1.9</v>
      </c>
      <c r="G75" s="7" t="n">
        <f aca="false">Recargas!S159</f>
        <v>0.9075</v>
      </c>
      <c r="H75" s="8" t="n">
        <f aca="false">G75/F75</f>
        <v>0.477631578947368</v>
      </c>
      <c r="I75" s="6" t="n">
        <v>1</v>
      </c>
    </row>
    <row r="76" customFormat="false" ht="15" hidden="false" customHeight="false" outlineLevel="0" collapsed="false">
      <c r="A76" s="6" t="s">
        <v>124</v>
      </c>
      <c r="B76" s="6" t="s">
        <v>173</v>
      </c>
      <c r="C76" s="6" t="s">
        <v>174</v>
      </c>
      <c r="D76" s="7" t="n">
        <f aca="false">Recargas!I162</f>
        <v>2</v>
      </c>
      <c r="E76" s="7" t="n">
        <f aca="false">Recargas!J162</f>
        <v>2.2</v>
      </c>
      <c r="F76" s="7" t="n">
        <f aca="false">Recargas!L162</f>
        <v>4.4</v>
      </c>
      <c r="G76" s="7" t="n">
        <f aca="false">Recargas!S162</f>
        <v>1.68</v>
      </c>
      <c r="H76" s="8" t="n">
        <f aca="false">G76/F76</f>
        <v>0.381818181818182</v>
      </c>
      <c r="I76" s="6" t="n">
        <v>1</v>
      </c>
    </row>
    <row r="77" customFormat="false" ht="15" hidden="false" customHeight="false" outlineLevel="0" collapsed="false">
      <c r="A77" s="6" t="s">
        <v>124</v>
      </c>
      <c r="B77" s="6" t="s">
        <v>175</v>
      </c>
      <c r="C77" s="6" t="s">
        <v>176</v>
      </c>
      <c r="D77" s="7" t="n">
        <f aca="false">Recargas!I166</f>
        <v>2</v>
      </c>
      <c r="E77" s="7" t="n">
        <f aca="false">Recargas!J166</f>
        <v>1.95</v>
      </c>
      <c r="F77" s="7" t="n">
        <f aca="false">Recargas!L166</f>
        <v>3.9</v>
      </c>
      <c r="G77" s="7" t="n">
        <f aca="false">Recargas!S166</f>
        <v>1.0925</v>
      </c>
      <c r="H77" s="8" t="n">
        <f aca="false">G77/F77</f>
        <v>0.280128205128205</v>
      </c>
      <c r="I77" s="6" t="n">
        <v>1</v>
      </c>
    </row>
    <row r="78" customFormat="false" ht="15" hidden="false" customHeight="false" outlineLevel="0" collapsed="false">
      <c r="A78" s="6" t="s">
        <v>124</v>
      </c>
      <c r="B78" s="6" t="s">
        <v>177</v>
      </c>
      <c r="C78" s="6" t="s">
        <v>178</v>
      </c>
      <c r="D78" s="7" t="n">
        <f aca="false">Recargas!I169</f>
        <v>8.5</v>
      </c>
      <c r="E78" s="7" t="n">
        <f aca="false">Recargas!J169</f>
        <v>2.5</v>
      </c>
      <c r="F78" s="7" t="n">
        <f aca="false">Recargas!L169</f>
        <v>21.25</v>
      </c>
      <c r="G78" s="7" t="n">
        <f aca="false">Recargas!S169</f>
        <v>20.04</v>
      </c>
      <c r="H78" s="8" t="n">
        <f aca="false">G78/F78</f>
        <v>0.943058823529412</v>
      </c>
      <c r="I78" s="6" t="n">
        <v>1</v>
      </c>
    </row>
    <row r="79" customFormat="false" ht="15" hidden="false" customHeight="false" outlineLevel="0" collapsed="false">
      <c r="A79" s="6" t="s">
        <v>124</v>
      </c>
      <c r="B79" s="6" t="s">
        <v>179</v>
      </c>
      <c r="C79" s="6" t="s">
        <v>180</v>
      </c>
      <c r="D79" s="7" t="n">
        <f aca="false">Recargas!I171</f>
        <v>8.5</v>
      </c>
      <c r="E79" s="7" t="n">
        <f aca="false">Recargas!J171</f>
        <v>2.5</v>
      </c>
      <c r="F79" s="7" t="n">
        <f aca="false">Recargas!L171</f>
        <v>21.25</v>
      </c>
      <c r="G79" s="7" t="n">
        <f aca="false">Recargas!S171</f>
        <v>20.04</v>
      </c>
      <c r="H79" s="8" t="n">
        <f aca="false">G79/F79</f>
        <v>0.943058823529412</v>
      </c>
      <c r="I79" s="6" t="n">
        <v>1</v>
      </c>
    </row>
    <row r="80" customFormat="false" ht="15" hidden="false" customHeight="false" outlineLevel="0" collapsed="false">
      <c r="A80" s="6" t="s">
        <v>124</v>
      </c>
      <c r="B80" s="6" t="s">
        <v>181</v>
      </c>
      <c r="C80" s="6" t="s">
        <v>182</v>
      </c>
      <c r="D80" s="7" t="n">
        <f aca="false">Recargas!I173</f>
        <v>1.1</v>
      </c>
      <c r="E80" s="7" t="n">
        <f aca="false">Recargas!J173</f>
        <v>2.5</v>
      </c>
      <c r="F80" s="7" t="n">
        <f aca="false">Recargas!L173</f>
        <v>2.75</v>
      </c>
      <c r="G80" s="7" t="n">
        <f aca="false">Recargas!S173</f>
        <v>2.4</v>
      </c>
      <c r="H80" s="8" t="n">
        <f aca="false">G80/F80</f>
        <v>0.872727272727273</v>
      </c>
      <c r="I80" s="6" t="n">
        <v>1</v>
      </c>
    </row>
    <row r="81" customFormat="false" ht="15" hidden="false" customHeight="false" outlineLevel="0" collapsed="false">
      <c r="A81" s="6" t="s">
        <v>124</v>
      </c>
      <c r="B81" s="6" t="s">
        <v>183</v>
      </c>
      <c r="C81" s="6" t="s">
        <v>184</v>
      </c>
      <c r="D81" s="7" t="n">
        <f aca="false">Recargas!I175</f>
        <v>1.5</v>
      </c>
      <c r="E81" s="7" t="n">
        <f aca="false">Recargas!J175</f>
        <v>2.5</v>
      </c>
      <c r="F81" s="7" t="n">
        <f aca="false">Recargas!L175</f>
        <v>3.75</v>
      </c>
      <c r="G81" s="7" t="n">
        <f aca="false">Recargas!S175</f>
        <v>2.7685</v>
      </c>
      <c r="H81" s="8" t="n">
        <f aca="false">G81/F81</f>
        <v>0.738266666666667</v>
      </c>
      <c r="I81" s="6" t="n">
        <v>1</v>
      </c>
    </row>
    <row r="82" customFormat="false" ht="15" hidden="false" customHeight="false" outlineLevel="0" collapsed="false">
      <c r="A82" s="9" t="s">
        <v>124</v>
      </c>
      <c r="B82" s="9"/>
      <c r="C82" s="9" t="s">
        <v>185</v>
      </c>
      <c r="D82" s="9"/>
      <c r="E82" s="9"/>
      <c r="F82" s="10" t="n">
        <f aca="false">SUMPRODUCT(F52:F81,I52:I81)</f>
        <v>225</v>
      </c>
      <c r="G82" s="10" t="n">
        <f aca="false">SUM(G52:G81)</f>
        <v>96.5364</v>
      </c>
      <c r="H82" s="11" t="n">
        <f aca="false">G82/F82</f>
        <v>0.429050666666667</v>
      </c>
      <c r="I82" s="9"/>
    </row>
    <row r="84" customFormat="false" ht="15" hidden="false" customHeight="false" outlineLevel="0" collapsed="false">
      <c r="A84" s="12"/>
      <c r="B84" s="12"/>
      <c r="C84" s="12" t="s">
        <v>186</v>
      </c>
      <c r="D84" s="12"/>
      <c r="E84" s="12"/>
      <c r="F84" s="13" t="n">
        <f aca="false">F28+F50+F82</f>
        <v>1263.805</v>
      </c>
      <c r="G84" s="13" t="n">
        <f aca="false">G28+G50+G82</f>
        <v>562.2923</v>
      </c>
      <c r="H84" s="14" t="n">
        <f aca="false">G84/F84</f>
        <v>0.444920141952279</v>
      </c>
      <c r="I84" s="12"/>
    </row>
    <row r="86" customFormat="false" ht="15" hidden="false" customHeight="false" outlineLevel="0" collapsed="false">
      <c r="A86" s="15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6"/>
    <col collapsed="false" customWidth="true" hidden="false" outlineLevel="0" max="12" min="9" style="0" width="9"/>
    <col collapsed="false" customWidth="true" hidden="false" outlineLevel="0" max="14" min="13" style="0" width="7"/>
    <col collapsed="false" customWidth="true" hidden="false" outlineLevel="0" max="15" min="15" style="0" width="46"/>
    <col collapsed="false" customWidth="true" hidden="false" outlineLevel="0" max="16" min="16" style="0" width="48"/>
    <col collapsed="false" customWidth="true" hidden="false" outlineLevel="0" max="17" min="17" style="0" width="40"/>
    <col collapsed="false" customWidth="true" hidden="false" outlineLevel="0" max="18" min="18" style="0" width="34"/>
    <col collapsed="false" customWidth="true" hidden="false" outlineLevel="0" max="19" min="19" style="0" width="11"/>
    <col collapsed="false" customWidth="true" hidden="false" outlineLevel="0" max="20" min="20" style="0" width="10"/>
  </cols>
  <sheetData>
    <row r="1" customFormat="false" ht="15" hidden="false" customHeight="false" outlineLevel="0" collapsed="false">
      <c r="A1" s="4" t="s">
        <v>188</v>
      </c>
    </row>
    <row r="2" customFormat="false" ht="15" hidden="false" customHeight="false" outlineLevel="0" collapsed="false">
      <c r="A2" s="15" t="s">
        <v>189</v>
      </c>
    </row>
    <row r="4" customFormat="false" ht="32.8" hidden="false" customHeight="false" outlineLevel="0" collapsed="false">
      <c r="A4" s="5" t="s">
        <v>27</v>
      </c>
      <c r="B4" s="5" t="s">
        <v>190</v>
      </c>
      <c r="C4" s="5" t="s">
        <v>191</v>
      </c>
      <c r="D4" s="5" t="s">
        <v>192</v>
      </c>
      <c r="E4" s="5" t="s">
        <v>193</v>
      </c>
      <c r="F4" s="5" t="s">
        <v>194</v>
      </c>
      <c r="G4" s="5" t="s">
        <v>195</v>
      </c>
      <c r="H4" s="5" t="s">
        <v>196</v>
      </c>
      <c r="I4" s="5" t="s">
        <v>29</v>
      </c>
      <c r="J4" s="5" t="s">
        <v>30</v>
      </c>
      <c r="K4" s="5" t="s">
        <v>197</v>
      </c>
      <c r="L4" s="5" t="s">
        <v>198</v>
      </c>
      <c r="M4" s="5" t="s">
        <v>199</v>
      </c>
      <c r="N4" s="5" t="s">
        <v>200</v>
      </c>
      <c r="O4" s="5" t="s">
        <v>201</v>
      </c>
      <c r="P4" s="5" t="s">
        <v>202</v>
      </c>
      <c r="Q4" s="5" t="s">
        <v>203</v>
      </c>
      <c r="R4" s="5" t="s">
        <v>204</v>
      </c>
      <c r="S4" s="5" t="s">
        <v>205</v>
      </c>
      <c r="T4" s="5" t="s">
        <v>206</v>
      </c>
    </row>
    <row r="5" customFormat="false" ht="74.6" hidden="false" customHeight="false" outlineLevel="0" collapsed="false">
      <c r="A5" s="12" t="s">
        <v>36</v>
      </c>
      <c r="B5" s="12"/>
      <c r="C5" s="12" t="s">
        <v>37</v>
      </c>
      <c r="D5" s="12"/>
      <c r="E5" s="12"/>
      <c r="F5" s="12" t="s">
        <v>207</v>
      </c>
      <c r="G5" s="12"/>
      <c r="H5" s="12"/>
      <c r="I5" s="13" t="n">
        <v>7</v>
      </c>
      <c r="J5" s="13" t="n">
        <v>10</v>
      </c>
      <c r="K5" s="12"/>
      <c r="L5" s="13" t="n">
        <v>50.62</v>
      </c>
      <c r="M5" s="13" t="n">
        <v>9.7</v>
      </c>
      <c r="N5" s="13" t="n">
        <v>0</v>
      </c>
      <c r="O5" s="12" t="s">
        <v>208</v>
      </c>
      <c r="P5" s="12"/>
      <c r="Q5" s="12" t="s">
        <v>209</v>
      </c>
      <c r="R5" s="12"/>
      <c r="S5" s="13" t="n">
        <f aca="false">SUM(L6:L19)</f>
        <v>31.0434</v>
      </c>
      <c r="T5" s="14" t="n">
        <f aca="false">S5/L5</f>
        <v>0.613263532200711</v>
      </c>
    </row>
    <row r="6" customFormat="false" ht="15" hidden="false" customHeight="false" outlineLevel="0" collapsed="false">
      <c r="A6" s="9"/>
      <c r="B6" s="9" t="n">
        <v>2</v>
      </c>
      <c r="C6" s="9" t="s">
        <v>210</v>
      </c>
      <c r="D6" s="9" t="n">
        <v>1</v>
      </c>
      <c r="E6" s="9" t="n">
        <v>1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 t="s">
        <v>211</v>
      </c>
      <c r="R6" s="9"/>
      <c r="S6" s="9"/>
      <c r="T6" s="9"/>
    </row>
    <row r="7" customFormat="false" ht="32.8" hidden="false" customHeight="false" outlineLevel="0" collapsed="false">
      <c r="B7" s="6" t="n">
        <v>2</v>
      </c>
      <c r="F7" s="6" t="s">
        <v>212</v>
      </c>
      <c r="G7" s="6" t="s">
        <v>213</v>
      </c>
      <c r="H7" s="6" t="n">
        <v>1</v>
      </c>
      <c r="I7" s="7" t="n">
        <v>3.4</v>
      </c>
      <c r="J7" s="7" t="n">
        <v>1.9</v>
      </c>
      <c r="K7" s="7" t="n">
        <v>1.55</v>
      </c>
      <c r="L7" s="7" t="n">
        <f aca="false">I7*J7</f>
        <v>6.46</v>
      </c>
      <c r="M7" s="7" t="n">
        <v>9.75</v>
      </c>
      <c r="N7" s="7" t="n">
        <v>4.4</v>
      </c>
      <c r="O7" s="6" t="s">
        <v>214</v>
      </c>
      <c r="P7" s="6" t="s">
        <v>215</v>
      </c>
      <c r="Q7" s="6" t="s">
        <v>216</v>
      </c>
      <c r="R7" s="16" t="s">
        <v>217</v>
      </c>
    </row>
    <row r="8" customFormat="false" ht="15" hidden="false" customHeight="false" outlineLevel="0" collapsed="false">
      <c r="B8" s="6" t="n">
        <v>2</v>
      </c>
      <c r="F8" s="6" t="s">
        <v>218</v>
      </c>
      <c r="G8" s="6" t="s">
        <v>219</v>
      </c>
      <c r="H8" s="6" t="n">
        <v>1</v>
      </c>
      <c r="I8" s="7" t="n">
        <v>3.4</v>
      </c>
      <c r="J8" s="7" t="n">
        <v>1</v>
      </c>
      <c r="K8" s="6" t="s">
        <v>220</v>
      </c>
      <c r="L8" s="7" t="n">
        <f aca="false">I8*J8</f>
        <v>3.4</v>
      </c>
      <c r="M8" s="7" t="n">
        <v>9.75</v>
      </c>
      <c r="N8" s="7" t="n">
        <v>3.4</v>
      </c>
      <c r="O8" s="6" t="s">
        <v>221</v>
      </c>
      <c r="P8" s="6" t="s">
        <v>222</v>
      </c>
      <c r="Q8" s="6" t="s">
        <v>223</v>
      </c>
    </row>
    <row r="9" customFormat="false" ht="15" hidden="false" customHeight="false" outlineLevel="0" collapsed="false">
      <c r="B9" s="6" t="n">
        <v>2</v>
      </c>
      <c r="F9" s="6" t="s">
        <v>224</v>
      </c>
      <c r="G9" s="6" t="s">
        <v>225</v>
      </c>
      <c r="H9" s="6" t="n">
        <v>1</v>
      </c>
      <c r="I9" s="7" t="n">
        <v>1.8</v>
      </c>
      <c r="J9" s="7" t="n">
        <v>1</v>
      </c>
      <c r="K9" s="16" t="s">
        <v>226</v>
      </c>
      <c r="L9" s="7" t="n">
        <f aca="false">I9*J9</f>
        <v>1.8</v>
      </c>
      <c r="M9" s="7" t="n">
        <v>10.05</v>
      </c>
      <c r="N9" s="7" t="n">
        <v>6.3</v>
      </c>
      <c r="O9" s="6" t="s">
        <v>227</v>
      </c>
      <c r="P9" s="6" t="s">
        <v>228</v>
      </c>
      <c r="Q9" s="6" t="s">
        <v>229</v>
      </c>
      <c r="R9" s="16" t="s">
        <v>230</v>
      </c>
    </row>
    <row r="10" customFormat="false" ht="15" hidden="false" customHeight="false" outlineLevel="0" collapsed="false">
      <c r="B10" s="6" t="n">
        <v>2</v>
      </c>
      <c r="F10" s="6" t="s">
        <v>231</v>
      </c>
      <c r="G10" s="6" t="s">
        <v>225</v>
      </c>
      <c r="H10" s="6" t="n">
        <v>1</v>
      </c>
      <c r="I10" s="7" t="n">
        <v>1.8</v>
      </c>
      <c r="J10" s="7" t="n">
        <v>2.6</v>
      </c>
      <c r="K10" s="16" t="s">
        <v>226</v>
      </c>
      <c r="L10" s="7" t="n">
        <f aca="false">I10*J10</f>
        <v>4.68</v>
      </c>
      <c r="M10" s="7" t="n">
        <v>10.05</v>
      </c>
      <c r="N10" s="7" t="n">
        <v>7.3</v>
      </c>
      <c r="O10" s="6" t="s">
        <v>232</v>
      </c>
      <c r="P10" s="6" t="s">
        <v>233</v>
      </c>
      <c r="Q10" s="6" t="s">
        <v>234</v>
      </c>
      <c r="R10" s="16" t="s">
        <v>235</v>
      </c>
    </row>
    <row r="11" customFormat="false" ht="15" hidden="false" customHeight="false" outlineLevel="0" collapsed="false">
      <c r="B11" s="6" t="n">
        <v>2</v>
      </c>
      <c r="F11" s="6" t="s">
        <v>236</v>
      </c>
      <c r="G11" s="6" t="s">
        <v>237</v>
      </c>
      <c r="H11" s="6" t="n">
        <v>1</v>
      </c>
      <c r="I11" s="7" t="n">
        <v>0.6</v>
      </c>
      <c r="J11" s="7" t="n">
        <v>0.34</v>
      </c>
      <c r="K11" s="6" t="s">
        <v>220</v>
      </c>
      <c r="L11" s="7" t="n">
        <f aca="false">I11*J11</f>
        <v>0.204</v>
      </c>
      <c r="M11" s="7" t="n">
        <v>12.25</v>
      </c>
      <c r="N11" s="7" t="n">
        <v>6.5</v>
      </c>
      <c r="O11" s="6" t="s">
        <v>238</v>
      </c>
      <c r="P11" s="6" t="s">
        <v>239</v>
      </c>
      <c r="Q11" s="6" t="s">
        <v>240</v>
      </c>
    </row>
    <row r="12" customFormat="false" ht="15" hidden="false" customHeight="false" outlineLevel="0" collapsed="false">
      <c r="A12" s="9"/>
      <c r="B12" s="9" t="n">
        <v>3</v>
      </c>
      <c r="C12" s="9" t="s">
        <v>241</v>
      </c>
      <c r="D12" s="9" t="n">
        <v>1</v>
      </c>
      <c r="E12" s="9" t="n">
        <v>1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 t="s">
        <v>242</v>
      </c>
      <c r="R12" s="9"/>
      <c r="S12" s="9"/>
      <c r="T12" s="9"/>
    </row>
    <row r="13" customFormat="false" ht="32.8" hidden="false" customHeight="false" outlineLevel="0" collapsed="false">
      <c r="B13" s="6" t="n">
        <v>3</v>
      </c>
      <c r="F13" s="6" t="s">
        <v>243</v>
      </c>
      <c r="G13" s="6" t="s">
        <v>213</v>
      </c>
      <c r="H13" s="6" t="n">
        <v>1</v>
      </c>
      <c r="I13" s="7" t="n">
        <v>1.61</v>
      </c>
      <c r="J13" s="7" t="n">
        <v>3.04</v>
      </c>
      <c r="K13" s="7" t="n">
        <v>1.6</v>
      </c>
      <c r="L13" s="7" t="n">
        <f aca="false">I13*J13</f>
        <v>4.8944</v>
      </c>
      <c r="M13" s="7" t="n">
        <v>12.6</v>
      </c>
      <c r="N13" s="7" t="n">
        <v>0.2</v>
      </c>
      <c r="O13" s="6" t="s">
        <v>244</v>
      </c>
      <c r="P13" s="6" t="s">
        <v>245</v>
      </c>
      <c r="Q13" s="6" t="s">
        <v>246</v>
      </c>
      <c r="R13" s="16" t="s">
        <v>247</v>
      </c>
    </row>
    <row r="14" customFormat="false" ht="15" hidden="false" customHeight="false" outlineLevel="0" collapsed="false">
      <c r="B14" s="6" t="n">
        <v>3</v>
      </c>
      <c r="F14" s="6" t="s">
        <v>248</v>
      </c>
      <c r="G14" s="6" t="s">
        <v>219</v>
      </c>
      <c r="H14" s="6" t="n">
        <v>1</v>
      </c>
      <c r="I14" s="7" t="n">
        <v>0.8</v>
      </c>
      <c r="J14" s="7" t="n">
        <v>3.04</v>
      </c>
      <c r="K14" s="6" t="s">
        <v>220</v>
      </c>
      <c r="L14" s="7" t="n">
        <f aca="false">I14*J14</f>
        <v>2.432</v>
      </c>
      <c r="M14" s="7" t="n">
        <v>14.21</v>
      </c>
      <c r="N14" s="7" t="n">
        <v>0.2</v>
      </c>
      <c r="O14" s="6" t="s">
        <v>249</v>
      </c>
      <c r="P14" s="6" t="s">
        <v>250</v>
      </c>
      <c r="Q14" s="6" t="s">
        <v>251</v>
      </c>
    </row>
    <row r="15" customFormat="false" ht="22.35" hidden="false" customHeight="false" outlineLevel="0" collapsed="false">
      <c r="B15" s="6" t="n">
        <v>3</v>
      </c>
      <c r="F15" s="6" t="s">
        <v>252</v>
      </c>
      <c r="G15" s="6" t="s">
        <v>253</v>
      </c>
      <c r="H15" s="6" t="n">
        <v>1</v>
      </c>
      <c r="I15" s="7" t="n">
        <v>2.6</v>
      </c>
      <c r="J15" s="7" t="n">
        <v>1.8</v>
      </c>
      <c r="K15" s="16" t="s">
        <v>226</v>
      </c>
      <c r="L15" s="7" t="n">
        <f aca="false">I15*J15</f>
        <v>4.68</v>
      </c>
      <c r="M15" s="7" t="n">
        <v>9.95</v>
      </c>
      <c r="N15" s="7" t="n">
        <v>1.4</v>
      </c>
      <c r="O15" s="6" t="s">
        <v>254</v>
      </c>
      <c r="P15" s="6" t="s">
        <v>255</v>
      </c>
      <c r="Q15" s="6" t="s">
        <v>256</v>
      </c>
      <c r="R15" s="16" t="s">
        <v>257</v>
      </c>
    </row>
    <row r="16" customFormat="false" ht="15" hidden="false" customHeight="false" outlineLevel="0" collapsed="false">
      <c r="B16" s="6" t="n">
        <v>3</v>
      </c>
      <c r="F16" s="6" t="s">
        <v>258</v>
      </c>
      <c r="G16" s="6" t="s">
        <v>259</v>
      </c>
      <c r="H16" s="6" t="n">
        <v>1</v>
      </c>
      <c r="I16" s="7" t="n">
        <v>0.7</v>
      </c>
      <c r="J16" s="7" t="n">
        <v>1.09</v>
      </c>
      <c r="K16" s="16" t="s">
        <v>226</v>
      </c>
      <c r="L16" s="7" t="n">
        <f aca="false">I16*J16</f>
        <v>0.763</v>
      </c>
      <c r="M16" s="7" t="n">
        <v>15.15</v>
      </c>
      <c r="N16" s="7" t="n">
        <v>0.25</v>
      </c>
      <c r="O16" s="6" t="s">
        <v>260</v>
      </c>
      <c r="P16" s="6" t="s">
        <v>261</v>
      </c>
      <c r="Q16" s="6" t="s">
        <v>262</v>
      </c>
      <c r="R16" s="16" t="s">
        <v>263</v>
      </c>
    </row>
    <row r="17" customFormat="false" ht="15" hidden="false" customHeight="false" outlineLevel="0" collapsed="false">
      <c r="B17" s="6" t="n">
        <v>3</v>
      </c>
      <c r="F17" s="6" t="s">
        <v>264</v>
      </c>
      <c r="G17" s="6" t="s">
        <v>259</v>
      </c>
      <c r="H17" s="6" t="n">
        <v>1</v>
      </c>
      <c r="I17" s="7" t="n">
        <v>0.7</v>
      </c>
      <c r="J17" s="7" t="n">
        <v>1.09</v>
      </c>
      <c r="K17" s="16" t="s">
        <v>226</v>
      </c>
      <c r="L17" s="7" t="n">
        <f aca="false">I17*J17</f>
        <v>0.763</v>
      </c>
      <c r="M17" s="7" t="n">
        <v>15.15</v>
      </c>
      <c r="N17" s="7" t="n">
        <v>1.95</v>
      </c>
      <c r="O17" s="6" t="s">
        <v>265</v>
      </c>
      <c r="P17" s="6" t="s">
        <v>261</v>
      </c>
      <c r="Q17" s="6" t="s">
        <v>266</v>
      </c>
      <c r="R17" s="16" t="s">
        <v>263</v>
      </c>
    </row>
    <row r="18" customFormat="false" ht="15" hidden="false" customHeight="false" outlineLevel="0" collapsed="false">
      <c r="B18" s="6" t="n">
        <v>3</v>
      </c>
      <c r="F18" s="6" t="s">
        <v>267</v>
      </c>
      <c r="G18" s="6" t="s">
        <v>259</v>
      </c>
      <c r="H18" s="6" t="n">
        <v>1</v>
      </c>
      <c r="I18" s="7" t="n">
        <v>0.7</v>
      </c>
      <c r="J18" s="7" t="n">
        <v>1.09</v>
      </c>
      <c r="K18" s="16" t="s">
        <v>226</v>
      </c>
      <c r="L18" s="7" t="n">
        <f aca="false">I18*J18</f>
        <v>0.763</v>
      </c>
      <c r="M18" s="7" t="n">
        <v>9.8</v>
      </c>
      <c r="N18" s="7" t="n">
        <v>0.25</v>
      </c>
      <c r="O18" s="6" t="s">
        <v>268</v>
      </c>
      <c r="P18" s="6"/>
      <c r="Q18" s="6" t="s">
        <v>269</v>
      </c>
      <c r="R18" s="16" t="s">
        <v>263</v>
      </c>
    </row>
    <row r="19" customFormat="false" ht="15" hidden="false" customHeight="false" outlineLevel="0" collapsed="false">
      <c r="B19" s="6" t="n">
        <v>3</v>
      </c>
      <c r="F19" s="6" t="s">
        <v>270</v>
      </c>
      <c r="G19" s="6" t="s">
        <v>237</v>
      </c>
      <c r="H19" s="6" t="n">
        <v>1</v>
      </c>
      <c r="I19" s="7" t="n">
        <v>0.6</v>
      </c>
      <c r="J19" s="7" t="n">
        <v>0.34</v>
      </c>
      <c r="K19" s="6" t="s">
        <v>220</v>
      </c>
      <c r="L19" s="7" t="n">
        <f aca="false">I19*J19</f>
        <v>0.204</v>
      </c>
      <c r="M19" s="7" t="n">
        <v>11.3</v>
      </c>
      <c r="N19" s="7" t="n">
        <v>0.95</v>
      </c>
      <c r="O19" s="6" t="s">
        <v>271</v>
      </c>
      <c r="P19" s="6" t="s">
        <v>239</v>
      </c>
      <c r="Q19" s="6" t="s">
        <v>272</v>
      </c>
    </row>
    <row r="20" customFormat="false" ht="74.6" hidden="false" customHeight="false" outlineLevel="0" collapsed="false">
      <c r="A20" s="12" t="s">
        <v>38</v>
      </c>
      <c r="B20" s="12"/>
      <c r="C20" s="12" t="s">
        <v>39</v>
      </c>
      <c r="D20" s="12"/>
      <c r="E20" s="12"/>
      <c r="F20" s="12" t="s">
        <v>207</v>
      </c>
      <c r="G20" s="12"/>
      <c r="H20" s="12"/>
      <c r="I20" s="13" t="n">
        <v>9</v>
      </c>
      <c r="J20" s="13" t="n">
        <v>5.45</v>
      </c>
      <c r="K20" s="12"/>
      <c r="L20" s="13" t="n">
        <f aca="false">I20*J20</f>
        <v>49.05</v>
      </c>
      <c r="M20" s="13" t="n">
        <v>9.7</v>
      </c>
      <c r="N20" s="13" t="n">
        <v>-13</v>
      </c>
      <c r="O20" s="12" t="s">
        <v>273</v>
      </c>
      <c r="P20" s="12"/>
      <c r="Q20" s="12" t="s">
        <v>274</v>
      </c>
      <c r="R20" s="12"/>
      <c r="S20" s="13" t="n">
        <f aca="false">SUM(L21:L32)</f>
        <v>24.079</v>
      </c>
      <c r="T20" s="14" t="n">
        <f aca="false">S20/L20</f>
        <v>0.490907237512742</v>
      </c>
    </row>
    <row r="21" customFormat="false" ht="15" hidden="false" customHeight="false" outlineLevel="0" collapsed="false">
      <c r="A21" s="9"/>
      <c r="B21" s="9" t="n">
        <v>4</v>
      </c>
      <c r="C21" s="9" t="s">
        <v>275</v>
      </c>
      <c r="D21" s="9" t="n">
        <v>1</v>
      </c>
      <c r="E21" s="9" t="n">
        <v>2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 t="s">
        <v>276</v>
      </c>
      <c r="R21" s="9"/>
      <c r="S21" s="9"/>
      <c r="T21" s="9"/>
    </row>
    <row r="22" customFormat="false" ht="15" hidden="false" customHeight="false" outlineLevel="0" collapsed="false">
      <c r="B22" s="6" t="n">
        <v>4</v>
      </c>
      <c r="F22" s="6" t="s">
        <v>277</v>
      </c>
      <c r="G22" s="6" t="s">
        <v>213</v>
      </c>
      <c r="H22" s="6" t="n">
        <v>1</v>
      </c>
      <c r="I22" s="7" t="n">
        <v>1.5</v>
      </c>
      <c r="J22" s="7" t="n">
        <v>1.7</v>
      </c>
      <c r="K22" s="16" t="s">
        <v>226</v>
      </c>
      <c r="L22" s="7" t="n">
        <f aca="false">I22*J22</f>
        <v>2.55</v>
      </c>
      <c r="M22" s="7" t="n">
        <v>9.85</v>
      </c>
      <c r="N22" s="7" t="n">
        <v>-11.35</v>
      </c>
      <c r="O22" s="6" t="s">
        <v>278</v>
      </c>
      <c r="P22" s="6" t="s">
        <v>279</v>
      </c>
      <c r="Q22" s="6" t="s">
        <v>280</v>
      </c>
      <c r="R22" s="16" t="s">
        <v>281</v>
      </c>
    </row>
    <row r="23" customFormat="false" ht="15" hidden="false" customHeight="false" outlineLevel="0" collapsed="false">
      <c r="B23" s="6" t="n">
        <v>4</v>
      </c>
      <c r="F23" s="6" t="s">
        <v>282</v>
      </c>
      <c r="G23" s="6" t="s">
        <v>213</v>
      </c>
      <c r="H23" s="6" t="n">
        <v>1</v>
      </c>
      <c r="I23" s="7" t="n">
        <v>1.6</v>
      </c>
      <c r="J23" s="7" t="n">
        <v>0.9</v>
      </c>
      <c r="K23" s="16" t="s">
        <v>226</v>
      </c>
      <c r="L23" s="7" t="n">
        <f aca="false">I23*J23</f>
        <v>1.44</v>
      </c>
      <c r="M23" s="7" t="n">
        <v>11.5</v>
      </c>
      <c r="N23" s="7" t="n">
        <v>-10.95</v>
      </c>
      <c r="O23" s="6" t="s">
        <v>283</v>
      </c>
      <c r="P23" s="6"/>
      <c r="Q23" s="6" t="s">
        <v>284</v>
      </c>
      <c r="R23" s="16" t="s">
        <v>281</v>
      </c>
    </row>
    <row r="24" customFormat="false" ht="15" hidden="false" customHeight="false" outlineLevel="0" collapsed="false">
      <c r="B24" s="6" t="n">
        <v>4</v>
      </c>
      <c r="F24" s="6" t="s">
        <v>285</v>
      </c>
      <c r="G24" s="6" t="s">
        <v>213</v>
      </c>
      <c r="H24" s="6" t="n">
        <v>1</v>
      </c>
      <c r="I24" s="7" t="n">
        <v>1.3</v>
      </c>
      <c r="J24" s="7" t="n">
        <v>0.9</v>
      </c>
      <c r="K24" s="16" t="s">
        <v>226</v>
      </c>
      <c r="L24" s="7" t="n">
        <f aca="false">I24*J24</f>
        <v>1.17</v>
      </c>
      <c r="M24" s="7" t="n">
        <v>13.15</v>
      </c>
      <c r="N24" s="7" t="n">
        <v>-10.95</v>
      </c>
      <c r="O24" s="6" t="s">
        <v>286</v>
      </c>
      <c r="P24" s="6"/>
      <c r="Q24" s="6" t="s">
        <v>287</v>
      </c>
      <c r="R24" s="16" t="s">
        <v>281</v>
      </c>
    </row>
    <row r="25" customFormat="false" ht="15" hidden="false" customHeight="false" outlineLevel="0" collapsed="false">
      <c r="B25" s="6" t="n">
        <v>4</v>
      </c>
      <c r="F25" s="6" t="s">
        <v>288</v>
      </c>
      <c r="G25" s="6" t="s">
        <v>213</v>
      </c>
      <c r="H25" s="6" t="n">
        <v>1</v>
      </c>
      <c r="I25" s="7" t="n">
        <v>2.4</v>
      </c>
      <c r="J25" s="7" t="n">
        <v>2.2</v>
      </c>
      <c r="K25" s="16" t="s">
        <v>226</v>
      </c>
      <c r="L25" s="7" t="n">
        <f aca="false">I25*J25</f>
        <v>5.28</v>
      </c>
      <c r="M25" s="7" t="n">
        <v>14.55</v>
      </c>
      <c r="N25" s="7" t="n">
        <v>-11.6</v>
      </c>
      <c r="O25" s="6" t="s">
        <v>289</v>
      </c>
      <c r="P25" s="6"/>
      <c r="Q25" s="6" t="s">
        <v>290</v>
      </c>
      <c r="R25" s="16" t="s">
        <v>291</v>
      </c>
    </row>
    <row r="26" customFormat="false" ht="15" hidden="false" customHeight="false" outlineLevel="0" collapsed="false">
      <c r="B26" s="6" t="n">
        <v>4</v>
      </c>
      <c r="F26" s="6" t="s">
        <v>292</v>
      </c>
      <c r="G26" s="6" t="s">
        <v>225</v>
      </c>
      <c r="H26" s="6" t="n">
        <v>1</v>
      </c>
      <c r="I26" s="7" t="n">
        <v>1.2</v>
      </c>
      <c r="J26" s="7" t="n">
        <v>0.9</v>
      </c>
      <c r="K26" s="16" t="s">
        <v>226</v>
      </c>
      <c r="L26" s="7" t="n">
        <f aca="false">I26*J26</f>
        <v>1.08</v>
      </c>
      <c r="M26" s="7" t="n">
        <v>13.2</v>
      </c>
      <c r="N26" s="7" t="n">
        <v>-9.2</v>
      </c>
      <c r="O26" s="6" t="s">
        <v>293</v>
      </c>
      <c r="P26" s="6"/>
      <c r="Q26" s="6" t="s">
        <v>294</v>
      </c>
      <c r="R26" s="16" t="s">
        <v>281</v>
      </c>
    </row>
    <row r="27" customFormat="false" ht="15" hidden="false" customHeight="false" outlineLevel="0" collapsed="false">
      <c r="B27" s="6" t="n">
        <v>4</v>
      </c>
      <c r="F27" s="6" t="s">
        <v>295</v>
      </c>
      <c r="G27" s="6" t="s">
        <v>225</v>
      </c>
      <c r="H27" s="6" t="n">
        <v>1</v>
      </c>
      <c r="I27" s="7" t="n">
        <v>2.3</v>
      </c>
      <c r="J27" s="7" t="n">
        <v>0.85</v>
      </c>
      <c r="K27" s="16" t="s">
        <v>226</v>
      </c>
      <c r="L27" s="7" t="n">
        <f aca="false">I27*J27</f>
        <v>1.955</v>
      </c>
      <c r="M27" s="7" t="n">
        <v>10.9</v>
      </c>
      <c r="N27" s="7" t="n">
        <v>-8.5</v>
      </c>
      <c r="O27" s="6" t="s">
        <v>296</v>
      </c>
      <c r="P27" s="6" t="s">
        <v>297</v>
      </c>
      <c r="Q27" s="6" t="s">
        <v>298</v>
      </c>
      <c r="R27" s="16" t="s">
        <v>281</v>
      </c>
    </row>
    <row r="28" customFormat="false" ht="15" hidden="false" customHeight="false" outlineLevel="0" collapsed="false">
      <c r="B28" s="6" t="n">
        <v>4</v>
      </c>
      <c r="F28" s="6" t="s">
        <v>299</v>
      </c>
      <c r="G28" s="6" t="s">
        <v>225</v>
      </c>
      <c r="H28" s="6" t="n">
        <v>1</v>
      </c>
      <c r="I28" s="7" t="n">
        <v>1.6</v>
      </c>
      <c r="J28" s="7" t="n">
        <v>1.25</v>
      </c>
      <c r="K28" s="16" t="s">
        <v>226</v>
      </c>
      <c r="L28" s="7" t="n">
        <f aca="false">I28*J28</f>
        <v>2</v>
      </c>
      <c r="M28" s="7" t="n">
        <v>17.05</v>
      </c>
      <c r="N28" s="7" t="n">
        <v>-11.3</v>
      </c>
      <c r="O28" s="6" t="s">
        <v>300</v>
      </c>
      <c r="P28" s="6" t="s">
        <v>301</v>
      </c>
      <c r="Q28" s="6" t="s">
        <v>302</v>
      </c>
      <c r="R28" s="16" t="s">
        <v>281</v>
      </c>
    </row>
    <row r="29" customFormat="false" ht="15" hidden="false" customHeight="false" outlineLevel="0" collapsed="false">
      <c r="B29" s="6" t="n">
        <v>4</v>
      </c>
      <c r="F29" s="6" t="s">
        <v>303</v>
      </c>
      <c r="G29" s="6" t="s">
        <v>237</v>
      </c>
      <c r="H29" s="6" t="n">
        <v>1</v>
      </c>
      <c r="I29" s="7" t="n">
        <v>0.6</v>
      </c>
      <c r="J29" s="7" t="n">
        <v>0.34</v>
      </c>
      <c r="K29" s="6" t="s">
        <v>220</v>
      </c>
      <c r="L29" s="7" t="n">
        <f aca="false">I29*J29</f>
        <v>0.204</v>
      </c>
      <c r="M29" s="7" t="n">
        <v>15.45</v>
      </c>
      <c r="N29" s="7" t="n">
        <v>-9.25</v>
      </c>
      <c r="O29" s="6" t="s">
        <v>304</v>
      </c>
      <c r="P29" s="6" t="s">
        <v>239</v>
      </c>
      <c r="Q29" s="6" t="s">
        <v>305</v>
      </c>
    </row>
    <row r="30" customFormat="false" ht="32.8" hidden="false" customHeight="false" outlineLevel="0" collapsed="false">
      <c r="B30" s="6" t="n">
        <v>4</v>
      </c>
      <c r="F30" s="6" t="s">
        <v>306</v>
      </c>
      <c r="G30" s="6" t="s">
        <v>253</v>
      </c>
      <c r="H30" s="6" t="n">
        <v>2</v>
      </c>
      <c r="I30" s="7" t="n">
        <v>5.4</v>
      </c>
      <c r="J30" s="7" t="n">
        <v>1.2</v>
      </c>
      <c r="K30" s="16" t="s">
        <v>226</v>
      </c>
      <c r="L30" s="7" t="n">
        <f aca="false">I30*J30</f>
        <v>6.48</v>
      </c>
      <c r="M30" s="7" t="n">
        <v>9.75</v>
      </c>
      <c r="N30" s="7" t="n">
        <v>-13</v>
      </c>
      <c r="O30" s="6" t="s">
        <v>307</v>
      </c>
      <c r="P30" s="6" t="s">
        <v>308</v>
      </c>
      <c r="Q30" s="6" t="s">
        <v>309</v>
      </c>
      <c r="R30" s="16" t="s">
        <v>310</v>
      </c>
    </row>
    <row r="31" customFormat="false" ht="15" hidden="false" customHeight="false" outlineLevel="0" collapsed="false">
      <c r="B31" s="6" t="n">
        <v>4</v>
      </c>
      <c r="F31" s="6" t="s">
        <v>311</v>
      </c>
      <c r="G31" s="6" t="s">
        <v>253</v>
      </c>
      <c r="H31" s="6" t="n">
        <v>1</v>
      </c>
      <c r="I31" s="7" t="n">
        <v>0.8</v>
      </c>
      <c r="J31" s="7" t="n">
        <v>1.2</v>
      </c>
      <c r="K31" s="16" t="s">
        <v>226</v>
      </c>
      <c r="L31" s="7" t="n">
        <f aca="false">I31*J31</f>
        <v>0.96</v>
      </c>
      <c r="M31" s="7" t="n">
        <v>15.3</v>
      </c>
      <c r="N31" s="7" t="n">
        <v>-13</v>
      </c>
      <c r="O31" s="6" t="s">
        <v>312</v>
      </c>
      <c r="P31" s="6" t="s">
        <v>313</v>
      </c>
      <c r="Q31" s="6" t="s">
        <v>314</v>
      </c>
    </row>
    <row r="32" customFormat="false" ht="15" hidden="false" customHeight="false" outlineLevel="0" collapsed="false">
      <c r="B32" s="6" t="n">
        <v>4</v>
      </c>
      <c r="F32" s="6" t="s">
        <v>315</v>
      </c>
      <c r="G32" s="6" t="s">
        <v>253</v>
      </c>
      <c r="H32" s="6" t="n">
        <v>1</v>
      </c>
      <c r="I32" s="7" t="n">
        <v>0.8</v>
      </c>
      <c r="J32" s="7" t="n">
        <v>1.2</v>
      </c>
      <c r="K32" s="16" t="s">
        <v>226</v>
      </c>
      <c r="L32" s="7" t="n">
        <f aca="false">I32*J32</f>
        <v>0.96</v>
      </c>
      <c r="M32" s="7" t="n">
        <v>16.15</v>
      </c>
      <c r="N32" s="7" t="n">
        <v>-13</v>
      </c>
      <c r="O32" s="6" t="s">
        <v>316</v>
      </c>
      <c r="P32" s="6" t="s">
        <v>313</v>
      </c>
      <c r="Q32" s="6" t="s">
        <v>317</v>
      </c>
    </row>
    <row r="33" customFormat="false" ht="32.8" hidden="false" customHeight="false" outlineLevel="0" collapsed="false">
      <c r="A33" s="12" t="s">
        <v>40</v>
      </c>
      <c r="B33" s="12"/>
      <c r="C33" s="12" t="s">
        <v>41</v>
      </c>
      <c r="D33" s="12"/>
      <c r="E33" s="12"/>
      <c r="F33" s="12" t="s">
        <v>207</v>
      </c>
      <c r="G33" s="12"/>
      <c r="H33" s="12"/>
      <c r="I33" s="13" t="n">
        <v>3.1</v>
      </c>
      <c r="J33" s="13" t="n">
        <v>5.45</v>
      </c>
      <c r="K33" s="12"/>
      <c r="L33" s="13" t="n">
        <f aca="false">I33*J33</f>
        <v>16.895</v>
      </c>
      <c r="M33" s="13" t="n">
        <v>18.7</v>
      </c>
      <c r="N33" s="13" t="n">
        <v>-13</v>
      </c>
      <c r="O33" s="12" t="s">
        <v>318</v>
      </c>
      <c r="P33" s="12"/>
      <c r="Q33" s="12" t="s">
        <v>319</v>
      </c>
      <c r="R33" s="12"/>
      <c r="S33" s="13" t="n">
        <f aca="false">SUM(L34:L39)</f>
        <v>3.454</v>
      </c>
      <c r="T33" s="14" t="n">
        <f aca="false">S33/L33</f>
        <v>0.204439183190293</v>
      </c>
    </row>
    <row r="34" customFormat="false" ht="15" hidden="false" customHeight="false" outlineLevel="0" collapsed="false">
      <c r="A34" s="9"/>
      <c r="B34" s="9" t="n">
        <v>5</v>
      </c>
      <c r="C34" s="9" t="s">
        <v>320</v>
      </c>
      <c r="D34" s="9" t="n">
        <v>2</v>
      </c>
      <c r="E34" s="9" t="n">
        <v>2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 t="s">
        <v>321</v>
      </c>
      <c r="R34" s="9"/>
      <c r="S34" s="9"/>
      <c r="T34" s="9"/>
    </row>
    <row r="35" customFormat="false" ht="22.35" hidden="false" customHeight="false" outlineLevel="0" collapsed="false">
      <c r="B35" s="6" t="n">
        <v>5</v>
      </c>
      <c r="F35" s="6" t="s">
        <v>322</v>
      </c>
      <c r="G35" s="6" t="s">
        <v>213</v>
      </c>
      <c r="H35" s="6" t="n">
        <v>1</v>
      </c>
      <c r="I35" s="7" t="n">
        <v>0.75</v>
      </c>
      <c r="J35" s="7" t="n">
        <v>0.6</v>
      </c>
      <c r="K35" s="7" t="n">
        <v>0.66</v>
      </c>
      <c r="L35" s="7" t="n">
        <f aca="false">I35*J35</f>
        <v>0.45</v>
      </c>
      <c r="M35" s="7" t="n">
        <v>19.4</v>
      </c>
      <c r="N35" s="7" t="n">
        <v>-11.2</v>
      </c>
      <c r="O35" s="6" t="s">
        <v>323</v>
      </c>
      <c r="P35" s="6" t="s">
        <v>324</v>
      </c>
      <c r="Q35" s="6" t="s">
        <v>325</v>
      </c>
      <c r="R35" s="16" t="s">
        <v>326</v>
      </c>
    </row>
    <row r="36" customFormat="false" ht="22.35" hidden="false" customHeight="false" outlineLevel="0" collapsed="false">
      <c r="B36" s="6" t="n">
        <v>5</v>
      </c>
      <c r="F36" s="6" t="s">
        <v>327</v>
      </c>
      <c r="G36" s="6" t="s">
        <v>213</v>
      </c>
      <c r="H36" s="6" t="n">
        <v>1</v>
      </c>
      <c r="I36" s="7" t="n">
        <v>0.75</v>
      </c>
      <c r="J36" s="7" t="n">
        <v>0.6</v>
      </c>
      <c r="K36" s="7" t="n">
        <v>0.66</v>
      </c>
      <c r="L36" s="7" t="n">
        <f aca="false">I36*J36</f>
        <v>0.45</v>
      </c>
      <c r="M36" s="7" t="n">
        <v>20.25</v>
      </c>
      <c r="N36" s="7" t="n">
        <v>-11.2</v>
      </c>
      <c r="O36" s="6" t="s">
        <v>323</v>
      </c>
      <c r="P36" s="6" t="s">
        <v>328</v>
      </c>
      <c r="Q36" s="6" t="s">
        <v>329</v>
      </c>
      <c r="R36" s="16" t="s">
        <v>330</v>
      </c>
    </row>
    <row r="37" customFormat="false" ht="15" hidden="false" customHeight="false" outlineLevel="0" collapsed="false">
      <c r="B37" s="6" t="n">
        <v>5</v>
      </c>
      <c r="F37" s="6" t="s">
        <v>303</v>
      </c>
      <c r="G37" s="6" t="s">
        <v>237</v>
      </c>
      <c r="H37" s="6" t="n">
        <v>1</v>
      </c>
      <c r="I37" s="7" t="n">
        <v>0.6</v>
      </c>
      <c r="J37" s="7" t="n">
        <v>0.34</v>
      </c>
      <c r="K37" s="6" t="s">
        <v>220</v>
      </c>
      <c r="L37" s="7" t="n">
        <f aca="false">I37*J37</f>
        <v>0.204</v>
      </c>
      <c r="M37" s="7" t="n">
        <v>19.95</v>
      </c>
      <c r="N37" s="7" t="n">
        <v>-10.25</v>
      </c>
      <c r="O37" s="6" t="s">
        <v>331</v>
      </c>
      <c r="P37" s="6" t="s">
        <v>239</v>
      </c>
      <c r="Q37" s="6" t="s">
        <v>332</v>
      </c>
    </row>
    <row r="38" customFormat="false" ht="32.8" hidden="false" customHeight="false" outlineLevel="0" collapsed="false">
      <c r="B38" s="6" t="n">
        <v>5</v>
      </c>
      <c r="F38" s="6" t="s">
        <v>333</v>
      </c>
      <c r="G38" s="6" t="s">
        <v>253</v>
      </c>
      <c r="H38" s="6" t="n">
        <v>2</v>
      </c>
      <c r="I38" s="7" t="n">
        <v>2.4</v>
      </c>
      <c r="J38" s="7" t="n">
        <v>0.6</v>
      </c>
      <c r="K38" s="7" t="n">
        <v>2</v>
      </c>
      <c r="L38" s="7" t="n">
        <f aca="false">I38*J38</f>
        <v>1.44</v>
      </c>
      <c r="M38" s="7" t="n">
        <v>18.9</v>
      </c>
      <c r="N38" s="7" t="n">
        <v>-13</v>
      </c>
      <c r="O38" s="6" t="s">
        <v>334</v>
      </c>
      <c r="P38" s="6" t="s">
        <v>335</v>
      </c>
      <c r="Q38" s="6" t="s">
        <v>336</v>
      </c>
    </row>
    <row r="39" customFormat="false" ht="15" hidden="false" customHeight="false" outlineLevel="0" collapsed="false">
      <c r="B39" s="6" t="n">
        <v>5</v>
      </c>
      <c r="F39" s="6" t="s">
        <v>337</v>
      </c>
      <c r="G39" s="6" t="s">
        <v>259</v>
      </c>
      <c r="H39" s="6" t="n">
        <v>1</v>
      </c>
      <c r="I39" s="7" t="n">
        <v>1.3</v>
      </c>
      <c r="J39" s="7" t="n">
        <v>0.7</v>
      </c>
      <c r="K39" s="16" t="s">
        <v>226</v>
      </c>
      <c r="L39" s="7" t="n">
        <f aca="false">I39*J39</f>
        <v>0.91</v>
      </c>
      <c r="M39" s="7" t="n">
        <v>19.6</v>
      </c>
      <c r="N39" s="7" t="n">
        <v>-8.35</v>
      </c>
      <c r="O39" s="6" t="s">
        <v>338</v>
      </c>
      <c r="P39" s="6" t="s">
        <v>339</v>
      </c>
      <c r="Q39" s="6" t="s">
        <v>340</v>
      </c>
      <c r="R39" s="16" t="s">
        <v>263</v>
      </c>
    </row>
    <row r="40" customFormat="false" ht="43.25" hidden="false" customHeight="false" outlineLevel="0" collapsed="false">
      <c r="A40" s="12" t="s">
        <v>42</v>
      </c>
      <c r="B40" s="12"/>
      <c r="C40" s="12" t="s">
        <v>43</v>
      </c>
      <c r="D40" s="12"/>
      <c r="E40" s="12"/>
      <c r="F40" s="12" t="s">
        <v>207</v>
      </c>
      <c r="G40" s="12"/>
      <c r="H40" s="12"/>
      <c r="I40" s="13" t="n">
        <v>3.7</v>
      </c>
      <c r="J40" s="13" t="n">
        <v>4.45</v>
      </c>
      <c r="K40" s="12"/>
      <c r="L40" s="13" t="n">
        <f aca="false">I40*J40</f>
        <v>16.465</v>
      </c>
      <c r="M40" s="13" t="n">
        <v>9.7</v>
      </c>
      <c r="N40" s="13" t="n">
        <v>-6</v>
      </c>
      <c r="O40" s="12" t="s">
        <v>341</v>
      </c>
      <c r="P40" s="12"/>
      <c r="Q40" s="12" t="s">
        <v>342</v>
      </c>
      <c r="R40" s="12"/>
      <c r="S40" s="13" t="n">
        <f aca="false">SUM(L41:L47)</f>
        <v>5.5002</v>
      </c>
      <c r="T40" s="14" t="n">
        <f aca="false">S40/L40</f>
        <v>0.334054054054054</v>
      </c>
    </row>
    <row r="41" customFormat="false" ht="15" hidden="false" customHeight="false" outlineLevel="0" collapsed="false">
      <c r="A41" s="9"/>
      <c r="B41" s="9" t="n">
        <v>6</v>
      </c>
      <c r="C41" s="9" t="s">
        <v>343</v>
      </c>
      <c r="D41" s="9" t="n">
        <v>2</v>
      </c>
      <c r="E41" s="9" t="n">
        <v>1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 t="s">
        <v>344</v>
      </c>
      <c r="R41" s="9"/>
      <c r="S41" s="9"/>
      <c r="T41" s="9"/>
    </row>
    <row r="42" customFormat="false" ht="15" hidden="false" customHeight="false" outlineLevel="0" collapsed="false">
      <c r="B42" s="6" t="n">
        <v>6</v>
      </c>
      <c r="F42" s="6" t="s">
        <v>345</v>
      </c>
      <c r="G42" s="6" t="s">
        <v>213</v>
      </c>
      <c r="H42" s="6" t="n">
        <v>1</v>
      </c>
      <c r="I42" s="7" t="n">
        <v>1.4</v>
      </c>
      <c r="J42" s="7" t="n">
        <v>0.95</v>
      </c>
      <c r="K42" s="16" t="s">
        <v>226</v>
      </c>
      <c r="L42" s="7" t="n">
        <f aca="false">I42*J42</f>
        <v>1.33</v>
      </c>
      <c r="M42" s="7" t="n">
        <v>10</v>
      </c>
      <c r="N42" s="7" t="n">
        <v>-5.4</v>
      </c>
      <c r="O42" s="6" t="s">
        <v>346</v>
      </c>
      <c r="P42" s="6" t="s">
        <v>347</v>
      </c>
      <c r="Q42" s="6" t="s">
        <v>348</v>
      </c>
      <c r="R42" s="16" t="s">
        <v>281</v>
      </c>
    </row>
    <row r="43" customFormat="false" ht="15" hidden="false" customHeight="false" outlineLevel="0" collapsed="false">
      <c r="B43" s="6" t="n">
        <v>6</v>
      </c>
      <c r="F43" s="6" t="s">
        <v>349</v>
      </c>
      <c r="G43" s="6" t="s">
        <v>225</v>
      </c>
      <c r="H43" s="6" t="n">
        <v>1</v>
      </c>
      <c r="I43" s="7" t="n">
        <v>1</v>
      </c>
      <c r="J43" s="7" t="n">
        <v>0.52</v>
      </c>
      <c r="K43" s="16" t="s">
        <v>226</v>
      </c>
      <c r="L43" s="7" t="n">
        <f aca="false">I43*J43</f>
        <v>0.52</v>
      </c>
      <c r="M43" s="7" t="n">
        <v>11.6</v>
      </c>
      <c r="N43" s="7" t="n">
        <v>-3.95</v>
      </c>
      <c r="O43" s="6" t="s">
        <v>350</v>
      </c>
      <c r="P43" s="6"/>
      <c r="Q43" s="6" t="s">
        <v>351</v>
      </c>
      <c r="R43" s="16" t="s">
        <v>281</v>
      </c>
    </row>
    <row r="44" customFormat="false" ht="15" hidden="false" customHeight="false" outlineLevel="0" collapsed="false">
      <c r="B44" s="6" t="n">
        <v>6</v>
      </c>
      <c r="F44" s="6" t="s">
        <v>303</v>
      </c>
      <c r="G44" s="6" t="s">
        <v>237</v>
      </c>
      <c r="H44" s="6" t="n">
        <v>1</v>
      </c>
      <c r="I44" s="7" t="n">
        <v>0.6</v>
      </c>
      <c r="J44" s="7" t="n">
        <v>0.34</v>
      </c>
      <c r="K44" s="6" t="s">
        <v>220</v>
      </c>
      <c r="L44" s="7" t="n">
        <f aca="false">I44*J44</f>
        <v>0.204</v>
      </c>
      <c r="M44" s="7" t="n">
        <v>10.4</v>
      </c>
      <c r="N44" s="7" t="n">
        <v>-4.3</v>
      </c>
      <c r="O44" s="6" t="s">
        <v>352</v>
      </c>
      <c r="P44" s="6" t="s">
        <v>239</v>
      </c>
      <c r="Q44" s="6" t="s">
        <v>353</v>
      </c>
    </row>
    <row r="45" customFormat="false" ht="15" hidden="false" customHeight="false" outlineLevel="0" collapsed="false">
      <c r="B45" s="6" t="n">
        <v>6</v>
      </c>
      <c r="F45" s="6" t="s">
        <v>354</v>
      </c>
      <c r="G45" s="6" t="s">
        <v>259</v>
      </c>
      <c r="H45" s="6" t="n">
        <v>1</v>
      </c>
      <c r="I45" s="7" t="n">
        <v>1.09</v>
      </c>
      <c r="J45" s="7" t="n">
        <v>0.6</v>
      </c>
      <c r="K45" s="16" t="s">
        <v>226</v>
      </c>
      <c r="L45" s="7" t="n">
        <f aca="false">I45*J45</f>
        <v>0.654</v>
      </c>
      <c r="M45" s="7" t="n">
        <v>12.2</v>
      </c>
      <c r="N45" s="7" t="n">
        <v>-5.35</v>
      </c>
      <c r="O45" s="6" t="s">
        <v>355</v>
      </c>
      <c r="P45" s="6"/>
      <c r="Q45" s="6" t="s">
        <v>356</v>
      </c>
      <c r="R45" s="16" t="s">
        <v>263</v>
      </c>
    </row>
    <row r="46" customFormat="false" ht="15" hidden="false" customHeight="false" outlineLevel="0" collapsed="false">
      <c r="B46" s="6" t="n">
        <v>6</v>
      </c>
      <c r="F46" s="6" t="s">
        <v>357</v>
      </c>
      <c r="G46" s="6" t="s">
        <v>259</v>
      </c>
      <c r="H46" s="6" t="n">
        <v>1</v>
      </c>
      <c r="I46" s="7" t="n">
        <v>1.09</v>
      </c>
      <c r="J46" s="7" t="n">
        <v>0.58</v>
      </c>
      <c r="K46" s="16" t="s">
        <v>226</v>
      </c>
      <c r="L46" s="7" t="n">
        <f aca="false">I46*J46</f>
        <v>0.6322</v>
      </c>
      <c r="M46" s="7" t="n">
        <v>12.2</v>
      </c>
      <c r="N46" s="7" t="n">
        <v>-4.7</v>
      </c>
      <c r="O46" s="6" t="s">
        <v>358</v>
      </c>
      <c r="P46" s="6"/>
      <c r="Q46" s="6" t="s">
        <v>359</v>
      </c>
      <c r="R46" s="16" t="s">
        <v>263</v>
      </c>
    </row>
    <row r="47" customFormat="false" ht="32.8" hidden="false" customHeight="false" outlineLevel="0" collapsed="false">
      <c r="B47" s="6" t="n">
        <v>6</v>
      </c>
      <c r="F47" s="6" t="s">
        <v>360</v>
      </c>
      <c r="G47" s="6" t="s">
        <v>253</v>
      </c>
      <c r="H47" s="6" t="n">
        <v>3</v>
      </c>
      <c r="I47" s="7" t="n">
        <v>3.6</v>
      </c>
      <c r="J47" s="7" t="n">
        <v>0.6</v>
      </c>
      <c r="K47" s="7" t="n">
        <v>2</v>
      </c>
      <c r="L47" s="7" t="n">
        <f aca="false">I47*J47</f>
        <v>2.16</v>
      </c>
      <c r="M47" s="7" t="n">
        <v>9.75</v>
      </c>
      <c r="N47" s="7" t="n">
        <v>-2.15</v>
      </c>
      <c r="O47" s="6" t="s">
        <v>361</v>
      </c>
      <c r="P47" s="6" t="s">
        <v>362</v>
      </c>
      <c r="Q47" s="6" t="s">
        <v>363</v>
      </c>
    </row>
    <row r="48" customFormat="false" ht="22.35" hidden="false" customHeight="false" outlineLevel="0" collapsed="false">
      <c r="A48" s="12" t="s">
        <v>44</v>
      </c>
      <c r="B48" s="12"/>
      <c r="C48" s="12" t="s">
        <v>45</v>
      </c>
      <c r="D48" s="12"/>
      <c r="E48" s="12"/>
      <c r="F48" s="12" t="s">
        <v>207</v>
      </c>
      <c r="G48" s="12"/>
      <c r="H48" s="12"/>
      <c r="I48" s="13" t="n">
        <v>3.4</v>
      </c>
      <c r="J48" s="13" t="n">
        <v>3.5</v>
      </c>
      <c r="K48" s="12"/>
      <c r="L48" s="13" t="n">
        <f aca="false">I48*J48</f>
        <v>11.9</v>
      </c>
      <c r="M48" s="13" t="n">
        <v>13.3</v>
      </c>
      <c r="N48" s="13" t="n">
        <v>3.5</v>
      </c>
      <c r="O48" s="12" t="s">
        <v>364</v>
      </c>
      <c r="P48" s="12"/>
      <c r="Q48" s="12" t="s">
        <v>365</v>
      </c>
      <c r="R48" s="12"/>
      <c r="S48" s="13" t="n">
        <f aca="false">SUM(L49:L53)</f>
        <v>2.554</v>
      </c>
      <c r="T48" s="14" t="n">
        <f aca="false">S48/L48</f>
        <v>0.214621848739496</v>
      </c>
    </row>
    <row r="49" customFormat="false" ht="15" hidden="false" customHeight="false" outlineLevel="0" collapsed="false">
      <c r="A49" s="9"/>
      <c r="B49" s="9" t="n">
        <v>6</v>
      </c>
      <c r="C49" s="9" t="s">
        <v>343</v>
      </c>
      <c r="D49" s="9" t="n">
        <v>2</v>
      </c>
      <c r="E49" s="9" t="n">
        <v>1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 t="s">
        <v>344</v>
      </c>
      <c r="R49" s="9"/>
      <c r="S49" s="9"/>
      <c r="T49" s="9"/>
    </row>
    <row r="50" customFormat="false" ht="15" hidden="false" customHeight="false" outlineLevel="0" collapsed="false">
      <c r="B50" s="6" t="n">
        <v>6</v>
      </c>
      <c r="F50" s="6" t="s">
        <v>366</v>
      </c>
      <c r="G50" s="6" t="s">
        <v>213</v>
      </c>
      <c r="H50" s="6" t="n">
        <v>1</v>
      </c>
      <c r="I50" s="7" t="n">
        <v>0.95</v>
      </c>
      <c r="J50" s="7" t="n">
        <v>1.4</v>
      </c>
      <c r="K50" s="16" t="s">
        <v>226</v>
      </c>
      <c r="L50" s="7" t="n">
        <f aca="false">I50*J50</f>
        <v>1.33</v>
      </c>
      <c r="M50" s="7" t="n">
        <v>13.45</v>
      </c>
      <c r="N50" s="7" t="n">
        <v>4.35</v>
      </c>
      <c r="O50" s="6" t="s">
        <v>367</v>
      </c>
      <c r="P50" s="6"/>
      <c r="Q50" s="6" t="s">
        <v>368</v>
      </c>
      <c r="R50" s="16" t="s">
        <v>281</v>
      </c>
    </row>
    <row r="51" customFormat="false" ht="15" hidden="false" customHeight="false" outlineLevel="0" collapsed="false">
      <c r="B51" s="6" t="n">
        <v>6</v>
      </c>
      <c r="F51" s="6" t="s">
        <v>349</v>
      </c>
      <c r="G51" s="6" t="s">
        <v>225</v>
      </c>
      <c r="H51" s="6" t="n">
        <v>1</v>
      </c>
      <c r="I51" s="7" t="n">
        <v>1</v>
      </c>
      <c r="J51" s="7" t="n">
        <v>0.52</v>
      </c>
      <c r="K51" s="16" t="s">
        <v>226</v>
      </c>
      <c r="L51" s="7" t="n">
        <f aca="false">I51*J51</f>
        <v>0.52</v>
      </c>
      <c r="M51" s="7" t="n">
        <v>15.55</v>
      </c>
      <c r="N51" s="7" t="n">
        <v>4.3</v>
      </c>
      <c r="O51" s="6" t="s">
        <v>369</v>
      </c>
      <c r="P51" s="6"/>
      <c r="Q51" s="6" t="s">
        <v>370</v>
      </c>
      <c r="R51" s="16" t="s">
        <v>281</v>
      </c>
    </row>
    <row r="52" customFormat="false" ht="15" hidden="false" customHeight="false" outlineLevel="0" collapsed="false">
      <c r="B52" s="6" t="n">
        <v>6</v>
      </c>
      <c r="F52" s="6" t="s">
        <v>371</v>
      </c>
      <c r="G52" s="6" t="s">
        <v>259</v>
      </c>
      <c r="H52" s="6" t="n">
        <v>1</v>
      </c>
      <c r="I52" s="7" t="n">
        <v>1</v>
      </c>
      <c r="J52" s="7" t="n">
        <v>0.5</v>
      </c>
      <c r="K52" s="16" t="s">
        <v>226</v>
      </c>
      <c r="L52" s="7" t="n">
        <f aca="false">I52*J52</f>
        <v>0.5</v>
      </c>
      <c r="M52" s="7" t="n">
        <v>15.55</v>
      </c>
      <c r="N52" s="7" t="n">
        <v>5.45</v>
      </c>
      <c r="O52" s="6" t="s">
        <v>372</v>
      </c>
      <c r="P52" s="6"/>
      <c r="Q52" s="6" t="s">
        <v>373</v>
      </c>
      <c r="R52" s="16" t="s">
        <v>263</v>
      </c>
    </row>
    <row r="53" customFormat="false" ht="15" hidden="false" customHeight="false" outlineLevel="0" collapsed="false">
      <c r="B53" s="6" t="n">
        <v>6</v>
      </c>
      <c r="F53" s="6" t="s">
        <v>303</v>
      </c>
      <c r="G53" s="6" t="s">
        <v>237</v>
      </c>
      <c r="H53" s="6" t="n">
        <v>1</v>
      </c>
      <c r="I53" s="7" t="n">
        <v>0.6</v>
      </c>
      <c r="J53" s="7" t="n">
        <v>0.34</v>
      </c>
      <c r="K53" s="6" t="s">
        <v>220</v>
      </c>
      <c r="L53" s="7" t="n">
        <f aca="false">I53*J53</f>
        <v>0.204</v>
      </c>
      <c r="M53" s="7" t="n">
        <v>14.6</v>
      </c>
      <c r="N53" s="7" t="n">
        <v>4.85</v>
      </c>
      <c r="O53" s="6" t="s">
        <v>374</v>
      </c>
      <c r="P53" s="6" t="s">
        <v>239</v>
      </c>
      <c r="Q53" s="6" t="s">
        <v>375</v>
      </c>
    </row>
    <row r="54" customFormat="false" ht="32.8" hidden="false" customHeight="false" outlineLevel="0" collapsed="false">
      <c r="A54" s="12" t="s">
        <v>46</v>
      </c>
      <c r="B54" s="12"/>
      <c r="C54" s="12" t="s">
        <v>47</v>
      </c>
      <c r="D54" s="12"/>
      <c r="E54" s="12"/>
      <c r="F54" s="12" t="s">
        <v>207</v>
      </c>
      <c r="G54" s="12"/>
      <c r="H54" s="12"/>
      <c r="I54" s="13" t="n">
        <v>2.7</v>
      </c>
      <c r="J54" s="13" t="n">
        <v>5.95</v>
      </c>
      <c r="K54" s="12"/>
      <c r="L54" s="13" t="n">
        <f aca="false">I54*J54</f>
        <v>16.065</v>
      </c>
      <c r="M54" s="13" t="n">
        <v>27.2</v>
      </c>
      <c r="N54" s="13" t="n">
        <v>-6</v>
      </c>
      <c r="O54" s="12" t="s">
        <v>376</v>
      </c>
      <c r="P54" s="12"/>
      <c r="Q54" s="12" t="s">
        <v>377</v>
      </c>
      <c r="R54" s="12"/>
      <c r="S54" s="13" t="n">
        <f aca="false">SUM(L55:L59)</f>
        <v>4.404</v>
      </c>
      <c r="T54" s="14" t="n">
        <f aca="false">S54/L54</f>
        <v>0.274136321195145</v>
      </c>
    </row>
    <row r="55" customFormat="false" ht="15" hidden="false" customHeight="false" outlineLevel="0" collapsed="false">
      <c r="A55" s="9"/>
      <c r="B55" s="9" t="n">
        <v>7</v>
      </c>
      <c r="C55" s="9" t="s">
        <v>378</v>
      </c>
      <c r="D55" s="9" t="n">
        <v>1</v>
      </c>
      <c r="E55" s="9" t="n">
        <v>2</v>
      </c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 t="s">
        <v>379</v>
      </c>
      <c r="R55" s="9"/>
      <c r="S55" s="9"/>
      <c r="T55" s="9"/>
    </row>
    <row r="56" customFormat="false" ht="15" hidden="false" customHeight="false" outlineLevel="0" collapsed="false">
      <c r="B56" s="6" t="n">
        <v>7</v>
      </c>
      <c r="F56" s="6" t="s">
        <v>380</v>
      </c>
      <c r="G56" s="6" t="s">
        <v>213</v>
      </c>
      <c r="H56" s="6" t="n">
        <v>1</v>
      </c>
      <c r="I56" s="7" t="n">
        <v>1.7</v>
      </c>
      <c r="J56" s="7" t="n">
        <v>1.4</v>
      </c>
      <c r="K56" s="16" t="s">
        <v>226</v>
      </c>
      <c r="L56" s="7" t="n">
        <f aca="false">I56*J56</f>
        <v>2.38</v>
      </c>
      <c r="M56" s="7" t="n">
        <v>27.4</v>
      </c>
      <c r="N56" s="7" t="n">
        <v>-1.45</v>
      </c>
      <c r="O56" s="6" t="s">
        <v>381</v>
      </c>
      <c r="P56" s="6"/>
      <c r="Q56" s="6" t="s">
        <v>382</v>
      </c>
      <c r="R56" s="16" t="s">
        <v>281</v>
      </c>
    </row>
    <row r="57" customFormat="false" ht="15" hidden="false" customHeight="false" outlineLevel="0" collapsed="false">
      <c r="B57" s="6" t="n">
        <v>7</v>
      </c>
      <c r="F57" s="6" t="s">
        <v>303</v>
      </c>
      <c r="G57" s="6" t="s">
        <v>237</v>
      </c>
      <c r="H57" s="6" t="n">
        <v>1</v>
      </c>
      <c r="I57" s="7" t="n">
        <v>0.6</v>
      </c>
      <c r="J57" s="7" t="n">
        <v>0.34</v>
      </c>
      <c r="K57" s="6" t="s">
        <v>220</v>
      </c>
      <c r="L57" s="7" t="n">
        <f aca="false">I57*J57</f>
        <v>0.204</v>
      </c>
      <c r="M57" s="7" t="n">
        <v>27.95</v>
      </c>
      <c r="N57" s="7" t="n">
        <v>-1.95</v>
      </c>
      <c r="O57" s="6" t="s">
        <v>383</v>
      </c>
      <c r="P57" s="6" t="s">
        <v>239</v>
      </c>
      <c r="Q57" s="6" t="s">
        <v>384</v>
      </c>
    </row>
    <row r="58" customFormat="false" ht="15" hidden="false" customHeight="false" outlineLevel="0" collapsed="false">
      <c r="B58" s="6" t="n">
        <v>7</v>
      </c>
      <c r="F58" s="6" t="s">
        <v>385</v>
      </c>
      <c r="G58" s="6" t="s">
        <v>259</v>
      </c>
      <c r="H58" s="6" t="n">
        <v>1</v>
      </c>
      <c r="I58" s="7" t="n">
        <v>1.3</v>
      </c>
      <c r="J58" s="7" t="n">
        <v>0.7</v>
      </c>
      <c r="K58" s="16" t="s">
        <v>226</v>
      </c>
      <c r="L58" s="7" t="n">
        <f aca="false">I58*J58</f>
        <v>0.91</v>
      </c>
      <c r="M58" s="7" t="n">
        <v>27.3</v>
      </c>
      <c r="N58" s="7" t="n">
        <v>-5.4</v>
      </c>
      <c r="O58" s="6" t="s">
        <v>386</v>
      </c>
      <c r="P58" s="6" t="s">
        <v>339</v>
      </c>
      <c r="Q58" s="6" t="s">
        <v>387</v>
      </c>
      <c r="R58" s="16" t="s">
        <v>263</v>
      </c>
    </row>
    <row r="59" customFormat="false" ht="15" hidden="false" customHeight="false" outlineLevel="0" collapsed="false">
      <c r="B59" s="6" t="n">
        <v>7</v>
      </c>
      <c r="F59" s="6" t="s">
        <v>388</v>
      </c>
      <c r="G59" s="6" t="s">
        <v>259</v>
      </c>
      <c r="H59" s="6" t="n">
        <v>1</v>
      </c>
      <c r="I59" s="7" t="n">
        <v>0.7</v>
      </c>
      <c r="J59" s="7" t="n">
        <v>1.3</v>
      </c>
      <c r="K59" s="16" t="s">
        <v>226</v>
      </c>
      <c r="L59" s="7" t="n">
        <f aca="false">I59*J59</f>
        <v>0.91</v>
      </c>
      <c r="M59" s="7" t="n">
        <v>29.15</v>
      </c>
      <c r="N59" s="7" t="n">
        <v>-2.95</v>
      </c>
      <c r="O59" s="6" t="s">
        <v>389</v>
      </c>
      <c r="P59" s="6" t="s">
        <v>339</v>
      </c>
      <c r="Q59" s="6" t="s">
        <v>390</v>
      </c>
      <c r="R59" s="16" t="s">
        <v>263</v>
      </c>
    </row>
    <row r="60" customFormat="false" ht="32.8" hidden="false" customHeight="false" outlineLevel="0" collapsed="false">
      <c r="A60" s="12" t="s">
        <v>48</v>
      </c>
      <c r="B60" s="12"/>
      <c r="C60" s="12" t="s">
        <v>49</v>
      </c>
      <c r="D60" s="12"/>
      <c r="E60" s="12"/>
      <c r="F60" s="12" t="s">
        <v>207</v>
      </c>
      <c r="G60" s="12"/>
      <c r="H60" s="12"/>
      <c r="I60" s="13" t="n">
        <v>2.8</v>
      </c>
      <c r="J60" s="13" t="n">
        <v>4.45</v>
      </c>
      <c r="K60" s="12"/>
      <c r="L60" s="13" t="n">
        <f aca="false">I60*J60</f>
        <v>12.46</v>
      </c>
      <c r="M60" s="13" t="n">
        <v>14.4</v>
      </c>
      <c r="N60" s="13" t="n">
        <v>-6</v>
      </c>
      <c r="O60" s="12" t="s">
        <v>391</v>
      </c>
      <c r="P60" s="12"/>
      <c r="Q60" s="12" t="s">
        <v>392</v>
      </c>
      <c r="R60" s="12"/>
      <c r="S60" s="13" t="n">
        <f aca="false">SUM(L61:L66)</f>
        <v>5.624</v>
      </c>
      <c r="T60" s="14" t="n">
        <f aca="false">S60/L60</f>
        <v>0.451364365971108</v>
      </c>
    </row>
    <row r="61" customFormat="false" ht="15" hidden="false" customHeight="false" outlineLevel="0" collapsed="false">
      <c r="A61" s="9"/>
      <c r="B61" s="9" t="n">
        <v>8</v>
      </c>
      <c r="C61" s="9" t="s">
        <v>393</v>
      </c>
      <c r="D61" s="9" t="n">
        <v>1</v>
      </c>
      <c r="E61" s="9" t="n">
        <v>1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 t="s">
        <v>394</v>
      </c>
      <c r="R61" s="9"/>
      <c r="S61" s="9"/>
      <c r="T61" s="9"/>
    </row>
    <row r="62" customFormat="false" ht="15" hidden="false" customHeight="false" outlineLevel="0" collapsed="false">
      <c r="B62" s="6" t="n">
        <v>8</v>
      </c>
      <c r="F62" s="6" t="s">
        <v>395</v>
      </c>
      <c r="G62" s="6" t="s">
        <v>213</v>
      </c>
      <c r="H62" s="6" t="n">
        <v>1</v>
      </c>
      <c r="I62" s="7" t="n">
        <v>2.4</v>
      </c>
      <c r="J62" s="7" t="n">
        <v>1.1</v>
      </c>
      <c r="K62" s="16" t="s">
        <v>226</v>
      </c>
      <c r="L62" s="7" t="n">
        <f aca="false">I62*J62</f>
        <v>2.64</v>
      </c>
      <c r="M62" s="7" t="n">
        <v>14.5</v>
      </c>
      <c r="N62" s="7" t="n">
        <v>-4.6</v>
      </c>
      <c r="O62" s="6" t="s">
        <v>396</v>
      </c>
      <c r="P62" s="6"/>
      <c r="Q62" s="6" t="s">
        <v>397</v>
      </c>
      <c r="R62" s="16" t="s">
        <v>281</v>
      </c>
    </row>
    <row r="63" customFormat="false" ht="15" hidden="false" customHeight="false" outlineLevel="0" collapsed="false">
      <c r="B63" s="6" t="n">
        <v>8</v>
      </c>
      <c r="F63" s="6" t="s">
        <v>398</v>
      </c>
      <c r="G63" s="6" t="s">
        <v>253</v>
      </c>
      <c r="H63" s="6" t="n">
        <v>1</v>
      </c>
      <c r="I63" s="7" t="n">
        <v>1.2</v>
      </c>
      <c r="J63" s="7" t="n">
        <v>0.8</v>
      </c>
      <c r="K63" s="16" t="s">
        <v>226</v>
      </c>
      <c r="L63" s="7" t="n">
        <f aca="false">I63*J63</f>
        <v>0.96</v>
      </c>
      <c r="M63" s="7" t="n">
        <v>14.5</v>
      </c>
      <c r="N63" s="7" t="n">
        <v>-5.45</v>
      </c>
      <c r="O63" s="6" t="s">
        <v>399</v>
      </c>
      <c r="P63" s="6" t="s">
        <v>400</v>
      </c>
      <c r="Q63" s="6" t="s">
        <v>401</v>
      </c>
      <c r="R63" s="16" t="s">
        <v>263</v>
      </c>
    </row>
    <row r="64" customFormat="false" ht="15" hidden="false" customHeight="false" outlineLevel="0" collapsed="false">
      <c r="B64" s="6" t="n">
        <v>8</v>
      </c>
      <c r="F64" s="6" t="s">
        <v>303</v>
      </c>
      <c r="G64" s="6" t="s">
        <v>237</v>
      </c>
      <c r="H64" s="6" t="n">
        <v>1</v>
      </c>
      <c r="I64" s="7" t="n">
        <v>0.6</v>
      </c>
      <c r="J64" s="7" t="n">
        <v>0.34</v>
      </c>
      <c r="K64" s="6" t="s">
        <v>220</v>
      </c>
      <c r="L64" s="7" t="n">
        <f aca="false">I64*J64</f>
        <v>0.204</v>
      </c>
      <c r="M64" s="7" t="n">
        <v>15.4</v>
      </c>
      <c r="N64" s="7" t="n">
        <v>-3.35</v>
      </c>
      <c r="O64" s="6" t="s">
        <v>402</v>
      </c>
      <c r="P64" s="6" t="s">
        <v>239</v>
      </c>
      <c r="Q64" s="6" t="s">
        <v>403</v>
      </c>
    </row>
    <row r="65" customFormat="false" ht="22.35" hidden="false" customHeight="false" outlineLevel="0" collapsed="false">
      <c r="B65" s="6" t="n">
        <v>8</v>
      </c>
      <c r="F65" s="6" t="s">
        <v>404</v>
      </c>
      <c r="G65" s="6" t="s">
        <v>259</v>
      </c>
      <c r="H65" s="6" t="n">
        <v>1</v>
      </c>
      <c r="I65" s="7" t="n">
        <v>1.3</v>
      </c>
      <c r="J65" s="7" t="n">
        <v>0.7</v>
      </c>
      <c r="K65" s="16" t="s">
        <v>226</v>
      </c>
      <c r="L65" s="7" t="n">
        <f aca="false">I65*J65</f>
        <v>0.91</v>
      </c>
      <c r="M65" s="7" t="n">
        <v>15.85</v>
      </c>
      <c r="N65" s="7" t="n">
        <v>-5.5</v>
      </c>
      <c r="O65" s="6" t="s">
        <v>405</v>
      </c>
      <c r="P65" s="6" t="s">
        <v>406</v>
      </c>
      <c r="Q65" s="6" t="s">
        <v>407</v>
      </c>
      <c r="R65" s="16" t="s">
        <v>263</v>
      </c>
    </row>
    <row r="66" customFormat="false" ht="22.35" hidden="false" customHeight="false" outlineLevel="0" collapsed="false">
      <c r="B66" s="6" t="n">
        <v>8</v>
      </c>
      <c r="F66" s="6" t="s">
        <v>408</v>
      </c>
      <c r="G66" s="6" t="s">
        <v>259</v>
      </c>
      <c r="H66" s="6" t="n">
        <v>1</v>
      </c>
      <c r="I66" s="7" t="n">
        <v>1.3</v>
      </c>
      <c r="J66" s="7" t="n">
        <v>0.7</v>
      </c>
      <c r="K66" s="16" t="s">
        <v>226</v>
      </c>
      <c r="L66" s="7" t="n">
        <f aca="false">I66*J66</f>
        <v>0.91</v>
      </c>
      <c r="M66" s="7" t="n">
        <v>15.85</v>
      </c>
      <c r="N66" s="7" t="n">
        <v>-2.45</v>
      </c>
      <c r="O66" s="6" t="s">
        <v>409</v>
      </c>
      <c r="P66" s="6" t="s">
        <v>406</v>
      </c>
      <c r="Q66" s="6" t="s">
        <v>410</v>
      </c>
      <c r="R66" s="16" t="s">
        <v>263</v>
      </c>
    </row>
    <row r="67" customFormat="false" ht="32.8" hidden="false" customHeight="false" outlineLevel="0" collapsed="false">
      <c r="A67" s="12" t="s">
        <v>50</v>
      </c>
      <c r="B67" s="12"/>
      <c r="C67" s="12" t="s">
        <v>51</v>
      </c>
      <c r="D67" s="12"/>
      <c r="E67" s="12"/>
      <c r="F67" s="12" t="s">
        <v>207</v>
      </c>
      <c r="G67" s="12"/>
      <c r="H67" s="12"/>
      <c r="I67" s="13" t="n">
        <v>3</v>
      </c>
      <c r="J67" s="13" t="n">
        <v>5.95</v>
      </c>
      <c r="K67" s="12"/>
      <c r="L67" s="13" t="n">
        <f aca="false">I67*J67</f>
        <v>17.85</v>
      </c>
      <c r="M67" s="13" t="n">
        <v>23</v>
      </c>
      <c r="N67" s="13" t="n">
        <v>-6</v>
      </c>
      <c r="O67" s="12" t="s">
        <v>411</v>
      </c>
      <c r="P67" s="12"/>
      <c r="Q67" s="12" t="s">
        <v>412</v>
      </c>
      <c r="R67" s="12"/>
      <c r="S67" s="13" t="n">
        <f aca="false">SUM(L68:L75)</f>
        <v>9.8</v>
      </c>
      <c r="T67" s="14" t="n">
        <f aca="false">S67/L67</f>
        <v>0.549019607843137</v>
      </c>
    </row>
    <row r="68" customFormat="false" ht="15" hidden="false" customHeight="false" outlineLevel="0" collapsed="false">
      <c r="A68" s="9"/>
      <c r="B68" s="9" t="n">
        <v>9</v>
      </c>
      <c r="C68" s="9" t="s">
        <v>413</v>
      </c>
      <c r="D68" s="9" t="n">
        <v>1</v>
      </c>
      <c r="E68" s="9" t="n">
        <v>2</v>
      </c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 t="s">
        <v>414</v>
      </c>
      <c r="R68" s="9"/>
      <c r="S68" s="9"/>
      <c r="T68" s="9"/>
    </row>
    <row r="69" customFormat="false" ht="15" hidden="false" customHeight="false" outlineLevel="0" collapsed="false">
      <c r="B69" s="6" t="n">
        <v>9</v>
      </c>
      <c r="F69" s="6" t="s">
        <v>415</v>
      </c>
      <c r="G69" s="6" t="s">
        <v>213</v>
      </c>
      <c r="H69" s="6" t="n">
        <v>1</v>
      </c>
      <c r="I69" s="7" t="n">
        <v>2.6</v>
      </c>
      <c r="J69" s="7" t="n">
        <v>1.4</v>
      </c>
      <c r="K69" s="16" t="s">
        <v>226</v>
      </c>
      <c r="L69" s="7" t="n">
        <f aca="false">I69*J69</f>
        <v>3.64</v>
      </c>
      <c r="M69" s="7" t="n">
        <v>23.2</v>
      </c>
      <c r="N69" s="7" t="n">
        <v>-1.6</v>
      </c>
      <c r="O69" s="6" t="s">
        <v>416</v>
      </c>
      <c r="P69" s="6"/>
      <c r="Q69" s="6" t="s">
        <v>417</v>
      </c>
      <c r="R69" s="16" t="s">
        <v>281</v>
      </c>
    </row>
    <row r="70" customFormat="false" ht="15" hidden="false" customHeight="false" outlineLevel="0" collapsed="false">
      <c r="B70" s="6" t="n">
        <v>9</v>
      </c>
      <c r="F70" s="6" t="s">
        <v>418</v>
      </c>
      <c r="G70" s="6" t="s">
        <v>225</v>
      </c>
      <c r="H70" s="6" t="n">
        <v>1</v>
      </c>
      <c r="I70" s="7" t="n">
        <v>0.5</v>
      </c>
      <c r="J70" s="7" t="n">
        <v>0.6</v>
      </c>
      <c r="K70" s="16" t="s">
        <v>226</v>
      </c>
      <c r="L70" s="7" t="n">
        <f aca="false">I70*J70</f>
        <v>0.3</v>
      </c>
      <c r="M70" s="7" t="n">
        <v>23.1</v>
      </c>
      <c r="N70" s="7" t="n">
        <v>-0.8</v>
      </c>
      <c r="O70" s="6" t="s">
        <v>419</v>
      </c>
      <c r="P70" s="6"/>
      <c r="Q70" s="6" t="s">
        <v>420</v>
      </c>
      <c r="R70" s="16" t="s">
        <v>421</v>
      </c>
    </row>
    <row r="71" customFormat="false" ht="15" hidden="false" customHeight="false" outlineLevel="0" collapsed="false">
      <c r="B71" s="6" t="n">
        <v>9</v>
      </c>
      <c r="F71" s="6" t="s">
        <v>303</v>
      </c>
      <c r="G71" s="6" t="s">
        <v>237</v>
      </c>
      <c r="H71" s="6" t="n">
        <v>1</v>
      </c>
      <c r="I71" s="7" t="n">
        <v>1.4</v>
      </c>
      <c r="J71" s="7" t="n">
        <v>0.45</v>
      </c>
      <c r="K71" s="6" t="s">
        <v>220</v>
      </c>
      <c r="L71" s="7" t="n">
        <f aca="false">I71*J71</f>
        <v>0.63</v>
      </c>
      <c r="M71" s="7" t="n">
        <v>23.8</v>
      </c>
      <c r="N71" s="7" t="n">
        <v>-2.35</v>
      </c>
      <c r="O71" s="6" t="s">
        <v>422</v>
      </c>
      <c r="P71" s="6" t="s">
        <v>423</v>
      </c>
      <c r="Q71" s="6" t="s">
        <v>424</v>
      </c>
    </row>
    <row r="72" customFormat="false" ht="22.35" hidden="false" customHeight="false" outlineLevel="0" collapsed="false">
      <c r="B72" s="6" t="n">
        <v>9</v>
      </c>
      <c r="F72" s="6" t="s">
        <v>425</v>
      </c>
      <c r="G72" s="6" t="s">
        <v>253</v>
      </c>
      <c r="H72" s="6" t="n">
        <v>2</v>
      </c>
      <c r="I72" s="7" t="n">
        <v>2.4</v>
      </c>
      <c r="J72" s="7" t="n">
        <v>0.6</v>
      </c>
      <c r="K72" s="7" t="n">
        <v>2</v>
      </c>
      <c r="L72" s="7" t="n">
        <f aca="false">I72*J72</f>
        <v>1.44</v>
      </c>
      <c r="M72" s="7" t="n">
        <v>23.3</v>
      </c>
      <c r="N72" s="7" t="n">
        <v>-6</v>
      </c>
      <c r="O72" s="6" t="s">
        <v>334</v>
      </c>
      <c r="P72" s="6" t="s">
        <v>426</v>
      </c>
      <c r="Q72" s="6" t="s">
        <v>427</v>
      </c>
    </row>
    <row r="73" customFormat="false" ht="22.35" hidden="false" customHeight="false" outlineLevel="0" collapsed="false">
      <c r="B73" s="6" t="n">
        <v>9</v>
      </c>
      <c r="F73" s="6" t="s">
        <v>428</v>
      </c>
      <c r="G73" s="6" t="s">
        <v>253</v>
      </c>
      <c r="H73" s="6" t="n">
        <v>2</v>
      </c>
      <c r="I73" s="7" t="n">
        <v>0.6</v>
      </c>
      <c r="J73" s="7" t="n">
        <v>2.4</v>
      </c>
      <c r="K73" s="7" t="n">
        <v>2</v>
      </c>
      <c r="L73" s="7" t="n">
        <f aca="false">I73*J73</f>
        <v>1.44</v>
      </c>
      <c r="M73" s="7" t="n">
        <v>23</v>
      </c>
      <c r="N73" s="7" t="n">
        <v>-5.4</v>
      </c>
      <c r="O73" s="6" t="s">
        <v>429</v>
      </c>
      <c r="P73" s="6" t="s">
        <v>426</v>
      </c>
      <c r="Q73" s="6" t="s">
        <v>430</v>
      </c>
    </row>
    <row r="74" customFormat="false" ht="22.35" hidden="false" customHeight="false" outlineLevel="0" collapsed="false">
      <c r="B74" s="6" t="n">
        <v>9</v>
      </c>
      <c r="F74" s="6" t="s">
        <v>431</v>
      </c>
      <c r="G74" s="6" t="s">
        <v>253</v>
      </c>
      <c r="H74" s="6" t="n">
        <v>2</v>
      </c>
      <c r="I74" s="7" t="n">
        <v>0.6</v>
      </c>
      <c r="J74" s="7" t="n">
        <v>2.4</v>
      </c>
      <c r="K74" s="7" t="n">
        <v>2</v>
      </c>
      <c r="L74" s="7" t="n">
        <f aca="false">I74*J74</f>
        <v>1.44</v>
      </c>
      <c r="M74" s="7" t="n">
        <v>25.4</v>
      </c>
      <c r="N74" s="7" t="n">
        <v>-5.4</v>
      </c>
      <c r="O74" s="6" t="s">
        <v>369</v>
      </c>
      <c r="P74" s="6" t="s">
        <v>426</v>
      </c>
      <c r="Q74" s="6" t="s">
        <v>432</v>
      </c>
    </row>
    <row r="75" customFormat="false" ht="22.35" hidden="false" customHeight="false" outlineLevel="0" collapsed="false">
      <c r="B75" s="6" t="n">
        <v>9</v>
      </c>
      <c r="F75" s="6" t="s">
        <v>433</v>
      </c>
      <c r="G75" s="6" t="s">
        <v>259</v>
      </c>
      <c r="H75" s="6" t="n">
        <v>2</v>
      </c>
      <c r="I75" s="7" t="n">
        <v>0.7</v>
      </c>
      <c r="J75" s="7" t="n">
        <v>1.3</v>
      </c>
      <c r="K75" s="16" t="s">
        <v>226</v>
      </c>
      <c r="L75" s="7" t="n">
        <f aca="false">I75*J75</f>
        <v>0.91</v>
      </c>
      <c r="M75" s="7" t="n">
        <v>25.3</v>
      </c>
      <c r="N75" s="7" t="n">
        <v>-2.95</v>
      </c>
      <c r="O75" s="6" t="s">
        <v>389</v>
      </c>
      <c r="P75" s="6" t="s">
        <v>406</v>
      </c>
      <c r="Q75" s="6" t="s">
        <v>434</v>
      </c>
      <c r="R75" s="16" t="s">
        <v>263</v>
      </c>
    </row>
    <row r="76" customFormat="false" ht="32.8" hidden="false" customHeight="false" outlineLevel="0" collapsed="false">
      <c r="A76" s="12" t="s">
        <v>52</v>
      </c>
      <c r="B76" s="12"/>
      <c r="C76" s="12" t="s">
        <v>53</v>
      </c>
      <c r="D76" s="12"/>
      <c r="E76" s="12"/>
      <c r="F76" s="12" t="s">
        <v>207</v>
      </c>
      <c r="G76" s="12"/>
      <c r="H76" s="12"/>
      <c r="I76" s="13" t="n">
        <v>3.6</v>
      </c>
      <c r="J76" s="13" t="n">
        <v>6</v>
      </c>
      <c r="K76" s="12"/>
      <c r="L76" s="13" t="n">
        <f aca="false">I76*J76</f>
        <v>21.6</v>
      </c>
      <c r="M76" s="13" t="n">
        <v>18.2</v>
      </c>
      <c r="N76" s="13" t="n">
        <v>-6</v>
      </c>
      <c r="O76" s="12" t="s">
        <v>435</v>
      </c>
      <c r="P76" s="12"/>
      <c r="Q76" s="12" t="s">
        <v>436</v>
      </c>
      <c r="R76" s="12"/>
      <c r="S76" s="13" t="n">
        <f aca="false">SUM(L77:L82)</f>
        <v>6.2</v>
      </c>
      <c r="T76" s="14" t="n">
        <f aca="false">S76/L76</f>
        <v>0.287037037037037</v>
      </c>
    </row>
    <row r="77" customFormat="false" ht="15" hidden="false" customHeight="false" outlineLevel="0" collapsed="false">
      <c r="A77" s="9"/>
      <c r="B77" s="9" t="n">
        <v>10</v>
      </c>
      <c r="C77" s="9" t="s">
        <v>437</v>
      </c>
      <c r="D77" s="9" t="n">
        <v>1</v>
      </c>
      <c r="E77" s="9" t="n">
        <v>2</v>
      </c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 t="s">
        <v>438</v>
      </c>
      <c r="R77" s="9"/>
      <c r="S77" s="9"/>
      <c r="T77" s="9"/>
    </row>
    <row r="78" customFormat="false" ht="15" hidden="false" customHeight="false" outlineLevel="0" collapsed="false">
      <c r="B78" s="6" t="n">
        <v>10</v>
      </c>
      <c r="F78" s="6" t="s">
        <v>439</v>
      </c>
      <c r="G78" s="6" t="s">
        <v>213</v>
      </c>
      <c r="H78" s="6" t="n">
        <v>1</v>
      </c>
      <c r="I78" s="7" t="n">
        <v>2.6</v>
      </c>
      <c r="J78" s="7" t="n">
        <v>1.4</v>
      </c>
      <c r="K78" s="16" t="s">
        <v>226</v>
      </c>
      <c r="L78" s="7" t="n">
        <f aca="false">I78*J78</f>
        <v>3.64</v>
      </c>
      <c r="M78" s="7" t="n">
        <v>18.6</v>
      </c>
      <c r="N78" s="7" t="n">
        <v>-1.6</v>
      </c>
      <c r="O78" s="6" t="s">
        <v>416</v>
      </c>
      <c r="P78" s="6"/>
      <c r="Q78" s="6" t="s">
        <v>440</v>
      </c>
      <c r="R78" s="16" t="s">
        <v>281</v>
      </c>
    </row>
    <row r="79" customFormat="false" ht="15" hidden="false" customHeight="false" outlineLevel="0" collapsed="false">
      <c r="B79" s="6" t="n">
        <v>10</v>
      </c>
      <c r="F79" s="6" t="s">
        <v>418</v>
      </c>
      <c r="G79" s="6" t="s">
        <v>225</v>
      </c>
      <c r="H79" s="6" t="n">
        <v>1</v>
      </c>
      <c r="I79" s="7" t="n">
        <v>0.5</v>
      </c>
      <c r="J79" s="7" t="n">
        <v>0.6</v>
      </c>
      <c r="K79" s="16" t="s">
        <v>226</v>
      </c>
      <c r="L79" s="7" t="n">
        <f aca="false">I79*J79</f>
        <v>0.3</v>
      </c>
      <c r="M79" s="7" t="n">
        <v>18.5</v>
      </c>
      <c r="N79" s="7" t="n">
        <v>-0.8</v>
      </c>
      <c r="O79" s="6" t="s">
        <v>419</v>
      </c>
      <c r="P79" s="6"/>
      <c r="Q79" s="6" t="s">
        <v>441</v>
      </c>
      <c r="R79" s="16" t="s">
        <v>421</v>
      </c>
    </row>
    <row r="80" customFormat="false" ht="15" hidden="false" customHeight="false" outlineLevel="0" collapsed="false">
      <c r="B80" s="6" t="n">
        <v>10</v>
      </c>
      <c r="F80" s="6" t="s">
        <v>303</v>
      </c>
      <c r="G80" s="6" t="s">
        <v>237</v>
      </c>
      <c r="H80" s="6" t="n">
        <v>1</v>
      </c>
      <c r="I80" s="7" t="n">
        <v>1.4</v>
      </c>
      <c r="J80" s="7" t="n">
        <v>0.45</v>
      </c>
      <c r="K80" s="6" t="s">
        <v>220</v>
      </c>
      <c r="L80" s="7" t="n">
        <f aca="false">I80*J80</f>
        <v>0.63</v>
      </c>
      <c r="M80" s="7" t="n">
        <v>19.2</v>
      </c>
      <c r="N80" s="7" t="n">
        <v>-2.35</v>
      </c>
      <c r="O80" s="6" t="s">
        <v>422</v>
      </c>
      <c r="P80" s="6" t="s">
        <v>423</v>
      </c>
      <c r="Q80" s="6" t="s">
        <v>442</v>
      </c>
    </row>
    <row r="81" customFormat="false" ht="22.35" hidden="false" customHeight="false" outlineLevel="0" collapsed="false">
      <c r="B81" s="6" t="n">
        <v>10</v>
      </c>
      <c r="F81" s="6" t="s">
        <v>443</v>
      </c>
      <c r="G81" s="6" t="s">
        <v>253</v>
      </c>
      <c r="H81" s="6" t="n">
        <v>1</v>
      </c>
      <c r="I81" s="7" t="n">
        <v>1.2</v>
      </c>
      <c r="J81" s="7" t="n">
        <v>0.6</v>
      </c>
      <c r="K81" s="7" t="n">
        <v>2</v>
      </c>
      <c r="L81" s="7" t="n">
        <f aca="false">I81*J81</f>
        <v>0.72</v>
      </c>
      <c r="M81" s="7" t="n">
        <v>18.4</v>
      </c>
      <c r="N81" s="7" t="n">
        <v>-6</v>
      </c>
      <c r="O81" s="6" t="s">
        <v>334</v>
      </c>
      <c r="P81" s="6" t="s">
        <v>426</v>
      </c>
      <c r="Q81" s="6" t="s">
        <v>444</v>
      </c>
    </row>
    <row r="82" customFormat="false" ht="22.35" hidden="false" customHeight="false" outlineLevel="0" collapsed="false">
      <c r="B82" s="6" t="n">
        <v>10</v>
      </c>
      <c r="F82" s="6" t="s">
        <v>445</v>
      </c>
      <c r="G82" s="6" t="s">
        <v>259</v>
      </c>
      <c r="H82" s="6" t="n">
        <v>1</v>
      </c>
      <c r="I82" s="7" t="n">
        <v>0.7</v>
      </c>
      <c r="J82" s="7" t="n">
        <v>1.3</v>
      </c>
      <c r="K82" s="16" t="s">
        <v>226</v>
      </c>
      <c r="L82" s="7" t="n">
        <f aca="false">I82*J82</f>
        <v>0.91</v>
      </c>
      <c r="M82" s="7" t="n">
        <v>21.05</v>
      </c>
      <c r="N82" s="7" t="n">
        <v>-3.3</v>
      </c>
      <c r="O82" s="6" t="s">
        <v>389</v>
      </c>
      <c r="P82" s="6" t="s">
        <v>406</v>
      </c>
      <c r="Q82" s="6" t="s">
        <v>446</v>
      </c>
      <c r="R82" s="16" t="s">
        <v>263</v>
      </c>
    </row>
    <row r="83" customFormat="false" ht="32.8" hidden="false" customHeight="false" outlineLevel="0" collapsed="false">
      <c r="A83" s="12" t="s">
        <v>54</v>
      </c>
      <c r="B83" s="12"/>
      <c r="C83" s="12" t="s">
        <v>55</v>
      </c>
      <c r="D83" s="12"/>
      <c r="E83" s="12"/>
      <c r="F83" s="12" t="s">
        <v>207</v>
      </c>
      <c r="G83" s="12"/>
      <c r="H83" s="12"/>
      <c r="I83" s="13" t="n">
        <v>4</v>
      </c>
      <c r="J83" s="13" t="n">
        <v>4.45</v>
      </c>
      <c r="K83" s="12"/>
      <c r="L83" s="13" t="n">
        <f aca="false">I83*J83</f>
        <v>17.8</v>
      </c>
      <c r="M83" s="13" t="n">
        <v>23</v>
      </c>
      <c r="N83" s="13" t="n">
        <v>-12</v>
      </c>
      <c r="O83" s="12" t="s">
        <v>447</v>
      </c>
      <c r="P83" s="12"/>
      <c r="Q83" s="12" t="s">
        <v>448</v>
      </c>
      <c r="R83" s="12"/>
      <c r="S83" s="13" t="n">
        <f aca="false">SUM(L84:L90)</f>
        <v>7.54</v>
      </c>
      <c r="T83" s="14" t="n">
        <f aca="false">S83/L83</f>
        <v>0.423595505617978</v>
      </c>
    </row>
    <row r="84" customFormat="false" ht="15" hidden="false" customHeight="false" outlineLevel="0" collapsed="false">
      <c r="A84" s="9"/>
      <c r="B84" s="9" t="n">
        <v>11</v>
      </c>
      <c r="C84" s="9" t="s">
        <v>449</v>
      </c>
      <c r="D84" s="9" t="n">
        <v>1</v>
      </c>
      <c r="E84" s="9" t="n">
        <v>2</v>
      </c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 t="s">
        <v>450</v>
      </c>
      <c r="R84" s="9"/>
      <c r="S84" s="9"/>
      <c r="T84" s="9"/>
    </row>
    <row r="85" customFormat="false" ht="15" hidden="false" customHeight="false" outlineLevel="0" collapsed="false">
      <c r="B85" s="6" t="n">
        <v>11</v>
      </c>
      <c r="F85" s="6" t="s">
        <v>451</v>
      </c>
      <c r="G85" s="6" t="s">
        <v>213</v>
      </c>
      <c r="H85" s="6" t="n">
        <v>1</v>
      </c>
      <c r="I85" s="7" t="n">
        <v>1.4</v>
      </c>
      <c r="J85" s="7" t="n">
        <v>1.2</v>
      </c>
      <c r="K85" s="16" t="s">
        <v>226</v>
      </c>
      <c r="L85" s="7" t="n">
        <f aca="false">I85*J85</f>
        <v>1.68</v>
      </c>
      <c r="M85" s="7" t="n">
        <v>24</v>
      </c>
      <c r="N85" s="7" t="n">
        <v>-11.45</v>
      </c>
      <c r="O85" s="6" t="s">
        <v>396</v>
      </c>
      <c r="P85" s="6" t="s">
        <v>452</v>
      </c>
      <c r="Q85" s="6" t="s">
        <v>453</v>
      </c>
      <c r="R85" s="16" t="s">
        <v>281</v>
      </c>
    </row>
    <row r="86" customFormat="false" ht="15" hidden="false" customHeight="false" outlineLevel="0" collapsed="false">
      <c r="B86" s="6" t="n">
        <v>11</v>
      </c>
      <c r="F86" s="6" t="s">
        <v>303</v>
      </c>
      <c r="G86" s="6" t="s">
        <v>237</v>
      </c>
      <c r="H86" s="6" t="n">
        <v>1</v>
      </c>
      <c r="I86" s="7" t="n">
        <v>1.4</v>
      </c>
      <c r="J86" s="7" t="n">
        <v>0.45</v>
      </c>
      <c r="K86" s="6" t="s">
        <v>220</v>
      </c>
      <c r="L86" s="7" t="n">
        <f aca="false">I86*J86</f>
        <v>0.63</v>
      </c>
      <c r="M86" s="7" t="n">
        <v>24</v>
      </c>
      <c r="N86" s="7" t="n">
        <v>-10.2</v>
      </c>
      <c r="O86" s="6" t="s">
        <v>454</v>
      </c>
      <c r="P86" s="6" t="s">
        <v>423</v>
      </c>
      <c r="Q86" s="6" t="s">
        <v>455</v>
      </c>
    </row>
    <row r="87" customFormat="false" ht="22.35" hidden="false" customHeight="false" outlineLevel="0" collapsed="false">
      <c r="B87" s="6" t="n">
        <v>11</v>
      </c>
      <c r="F87" s="6" t="s">
        <v>456</v>
      </c>
      <c r="G87" s="6" t="s">
        <v>253</v>
      </c>
      <c r="H87" s="6" t="n">
        <v>3</v>
      </c>
      <c r="I87" s="7" t="n">
        <v>3.6</v>
      </c>
      <c r="J87" s="7" t="n">
        <v>0.6</v>
      </c>
      <c r="K87" s="7" t="n">
        <v>2</v>
      </c>
      <c r="L87" s="7" t="n">
        <f aca="false">I87*J87</f>
        <v>2.16</v>
      </c>
      <c r="M87" s="7" t="n">
        <v>23.2</v>
      </c>
      <c r="N87" s="7" t="n">
        <v>-8.15</v>
      </c>
      <c r="O87" s="6" t="s">
        <v>457</v>
      </c>
      <c r="P87" s="6" t="s">
        <v>426</v>
      </c>
      <c r="Q87" s="6" t="s">
        <v>458</v>
      </c>
    </row>
    <row r="88" customFormat="false" ht="22.35" hidden="false" customHeight="false" outlineLevel="0" collapsed="false">
      <c r="B88" s="6" t="n">
        <v>11</v>
      </c>
      <c r="F88" s="6" t="s">
        <v>459</v>
      </c>
      <c r="G88" s="6" t="s">
        <v>253</v>
      </c>
      <c r="H88" s="6" t="n">
        <v>1</v>
      </c>
      <c r="I88" s="7" t="n">
        <v>0.6</v>
      </c>
      <c r="J88" s="7" t="n">
        <v>1.2</v>
      </c>
      <c r="K88" s="7" t="n">
        <v>2</v>
      </c>
      <c r="L88" s="7" t="n">
        <f aca="false">I88*J88</f>
        <v>0.72</v>
      </c>
      <c r="M88" s="7" t="n">
        <v>26.4</v>
      </c>
      <c r="N88" s="7" t="n">
        <v>-9.65</v>
      </c>
      <c r="O88" s="6" t="s">
        <v>369</v>
      </c>
      <c r="P88" s="6" t="s">
        <v>426</v>
      </c>
      <c r="Q88" s="6" t="s">
        <v>460</v>
      </c>
    </row>
    <row r="89" customFormat="false" ht="32.8" hidden="false" customHeight="false" outlineLevel="0" collapsed="false">
      <c r="B89" s="6" t="n">
        <v>11</v>
      </c>
      <c r="F89" s="6" t="s">
        <v>461</v>
      </c>
      <c r="G89" s="6" t="s">
        <v>253</v>
      </c>
      <c r="H89" s="6" t="n">
        <v>2</v>
      </c>
      <c r="I89" s="7" t="n">
        <v>0.6</v>
      </c>
      <c r="J89" s="7" t="n">
        <v>2.4</v>
      </c>
      <c r="K89" s="7" t="n">
        <v>2</v>
      </c>
      <c r="L89" s="7" t="n">
        <f aca="false">I89*J89</f>
        <v>1.44</v>
      </c>
      <c r="M89" s="7" t="n">
        <v>23</v>
      </c>
      <c r="N89" s="7" t="n">
        <v>-11.9</v>
      </c>
      <c r="O89" s="6" t="s">
        <v>429</v>
      </c>
      <c r="P89" s="6" t="s">
        <v>462</v>
      </c>
      <c r="Q89" s="6" t="s">
        <v>463</v>
      </c>
    </row>
    <row r="90" customFormat="false" ht="22.35" hidden="false" customHeight="false" outlineLevel="0" collapsed="false">
      <c r="B90" s="6" t="n">
        <v>11</v>
      </c>
      <c r="F90" s="6" t="s">
        <v>464</v>
      </c>
      <c r="G90" s="6" t="s">
        <v>259</v>
      </c>
      <c r="H90" s="6" t="n">
        <v>1</v>
      </c>
      <c r="I90" s="7" t="n">
        <v>0.7</v>
      </c>
      <c r="J90" s="7" t="n">
        <v>1.3</v>
      </c>
      <c r="K90" s="16" t="s">
        <v>226</v>
      </c>
      <c r="L90" s="7" t="n">
        <f aca="false">I90*J90</f>
        <v>0.91</v>
      </c>
      <c r="M90" s="7" t="n">
        <v>26.25</v>
      </c>
      <c r="N90" s="7" t="n">
        <v>-11.55</v>
      </c>
      <c r="O90" s="6" t="s">
        <v>355</v>
      </c>
      <c r="P90" s="6" t="s">
        <v>406</v>
      </c>
      <c r="Q90" s="6" t="s">
        <v>465</v>
      </c>
      <c r="R90" s="16" t="s">
        <v>263</v>
      </c>
    </row>
    <row r="91" customFormat="false" ht="22.35" hidden="false" customHeight="false" outlineLevel="0" collapsed="false">
      <c r="A91" s="12" t="s">
        <v>56</v>
      </c>
      <c r="B91" s="12"/>
      <c r="C91" s="12" t="s">
        <v>57</v>
      </c>
      <c r="D91" s="12"/>
      <c r="E91" s="12"/>
      <c r="F91" s="12" t="s">
        <v>207</v>
      </c>
      <c r="G91" s="12"/>
      <c r="H91" s="12"/>
      <c r="I91" s="13" t="n">
        <v>2.8</v>
      </c>
      <c r="J91" s="13" t="n">
        <v>4.45</v>
      </c>
      <c r="K91" s="12"/>
      <c r="L91" s="13" t="n">
        <f aca="false">I91*J91</f>
        <v>12.46</v>
      </c>
      <c r="M91" s="13" t="n">
        <v>28.2</v>
      </c>
      <c r="N91" s="13" t="n">
        <v>-12</v>
      </c>
      <c r="O91" s="12" t="s">
        <v>466</v>
      </c>
      <c r="P91" s="12"/>
      <c r="Q91" s="12" t="s">
        <v>467</v>
      </c>
      <c r="R91" s="12"/>
      <c r="S91" s="13" t="n">
        <f aca="false">SUM(L92:L96)</f>
        <v>5.205</v>
      </c>
      <c r="T91" s="14" t="n">
        <f aca="false">S91/L91</f>
        <v>0.417736757624398</v>
      </c>
    </row>
    <row r="92" customFormat="false" ht="15" hidden="false" customHeight="false" outlineLevel="0" collapsed="false">
      <c r="A92" s="9"/>
      <c r="B92" s="9" t="n">
        <v>12</v>
      </c>
      <c r="C92" s="9" t="s">
        <v>468</v>
      </c>
      <c r="D92" s="9" t="n">
        <v>1</v>
      </c>
      <c r="E92" s="9" t="n">
        <v>2</v>
      </c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 t="s">
        <v>469</v>
      </c>
      <c r="R92" s="9"/>
      <c r="S92" s="9"/>
      <c r="T92" s="9"/>
    </row>
    <row r="93" customFormat="false" ht="15" hidden="false" customHeight="false" outlineLevel="0" collapsed="false">
      <c r="B93" s="6" t="n">
        <v>12</v>
      </c>
      <c r="F93" s="6" t="s">
        <v>470</v>
      </c>
      <c r="G93" s="6" t="s">
        <v>213</v>
      </c>
      <c r="H93" s="6" t="n">
        <v>1</v>
      </c>
      <c r="I93" s="7" t="n">
        <v>1.1</v>
      </c>
      <c r="J93" s="7" t="n">
        <v>1</v>
      </c>
      <c r="K93" s="16" t="s">
        <v>226</v>
      </c>
      <c r="L93" s="7" t="n">
        <f aca="false">I93*J93</f>
        <v>1.1</v>
      </c>
      <c r="M93" s="7" t="n">
        <v>28.45</v>
      </c>
      <c r="N93" s="7" t="n">
        <v>-11.2</v>
      </c>
      <c r="O93" s="6" t="s">
        <v>396</v>
      </c>
      <c r="P93" s="6"/>
      <c r="Q93" s="6" t="s">
        <v>471</v>
      </c>
      <c r="R93" s="16" t="s">
        <v>281</v>
      </c>
    </row>
    <row r="94" customFormat="false" ht="15" hidden="false" customHeight="false" outlineLevel="0" collapsed="false">
      <c r="B94" s="6" t="n">
        <v>12</v>
      </c>
      <c r="F94" s="6" t="s">
        <v>303</v>
      </c>
      <c r="G94" s="6" t="s">
        <v>237</v>
      </c>
      <c r="H94" s="6" t="n">
        <v>1</v>
      </c>
      <c r="I94" s="7" t="n">
        <v>1.1</v>
      </c>
      <c r="J94" s="7" t="n">
        <v>0.45</v>
      </c>
      <c r="K94" s="6" t="s">
        <v>220</v>
      </c>
      <c r="L94" s="7" t="n">
        <f aca="false">I94*J94</f>
        <v>0.495</v>
      </c>
      <c r="M94" s="7" t="n">
        <v>28.45</v>
      </c>
      <c r="N94" s="7" t="n">
        <v>-10.05</v>
      </c>
      <c r="O94" s="6" t="s">
        <v>472</v>
      </c>
      <c r="P94" s="6" t="s">
        <v>473</v>
      </c>
      <c r="Q94" s="6" t="s">
        <v>474</v>
      </c>
    </row>
    <row r="95" customFormat="false" ht="22.35" hidden="false" customHeight="false" outlineLevel="0" collapsed="false">
      <c r="B95" s="6" t="n">
        <v>12</v>
      </c>
      <c r="F95" s="6" t="s">
        <v>475</v>
      </c>
      <c r="G95" s="6" t="s">
        <v>253</v>
      </c>
      <c r="H95" s="6" t="n">
        <v>2</v>
      </c>
      <c r="I95" s="7" t="n">
        <v>1.5</v>
      </c>
      <c r="J95" s="7" t="n">
        <v>1.8</v>
      </c>
      <c r="K95" s="16" t="s">
        <v>226</v>
      </c>
      <c r="L95" s="7" t="n">
        <f aca="false">I95*J95</f>
        <v>2.7</v>
      </c>
      <c r="M95" s="7" t="n">
        <v>28.3</v>
      </c>
      <c r="N95" s="7" t="n">
        <v>-9.45</v>
      </c>
      <c r="O95" s="6" t="s">
        <v>476</v>
      </c>
      <c r="P95" s="6" t="s">
        <v>477</v>
      </c>
      <c r="Q95" s="6" t="s">
        <v>478</v>
      </c>
      <c r="R95" s="16" t="s">
        <v>263</v>
      </c>
    </row>
    <row r="96" customFormat="false" ht="22.35" hidden="false" customHeight="false" outlineLevel="0" collapsed="false">
      <c r="B96" s="6" t="n">
        <v>12</v>
      </c>
      <c r="F96" s="6" t="s">
        <v>479</v>
      </c>
      <c r="G96" s="6" t="s">
        <v>259</v>
      </c>
      <c r="H96" s="6" t="n">
        <v>1</v>
      </c>
      <c r="I96" s="7" t="n">
        <v>0.7</v>
      </c>
      <c r="J96" s="7" t="n">
        <v>1.3</v>
      </c>
      <c r="K96" s="16" t="s">
        <v>226</v>
      </c>
      <c r="L96" s="7" t="n">
        <f aca="false">I96*J96</f>
        <v>0.91</v>
      </c>
      <c r="M96" s="7" t="n">
        <v>30.2</v>
      </c>
      <c r="N96" s="7" t="n">
        <v>-9.9</v>
      </c>
      <c r="O96" s="6" t="s">
        <v>389</v>
      </c>
      <c r="P96" s="6" t="s">
        <v>406</v>
      </c>
      <c r="Q96" s="6" t="s">
        <v>480</v>
      </c>
      <c r="R96" s="16" t="s">
        <v>263</v>
      </c>
    </row>
    <row r="97" customFormat="false" ht="43.25" hidden="false" customHeight="false" outlineLevel="0" collapsed="false">
      <c r="A97" s="12" t="s">
        <v>58</v>
      </c>
      <c r="B97" s="12"/>
      <c r="C97" s="12" t="s">
        <v>59</v>
      </c>
      <c r="D97" s="12"/>
      <c r="E97" s="12"/>
      <c r="F97" s="12" t="s">
        <v>207</v>
      </c>
      <c r="G97" s="12"/>
      <c r="H97" s="12"/>
      <c r="I97" s="13" t="n">
        <v>4.6</v>
      </c>
      <c r="J97" s="13" t="n">
        <v>5.95</v>
      </c>
      <c r="K97" s="12"/>
      <c r="L97" s="13" t="n">
        <f aca="false">I97*J97</f>
        <v>27.37</v>
      </c>
      <c r="M97" s="13" t="n">
        <v>31.1</v>
      </c>
      <c r="N97" s="13" t="n">
        <v>-6</v>
      </c>
      <c r="O97" s="12" t="s">
        <v>481</v>
      </c>
      <c r="P97" s="12"/>
      <c r="Q97" s="12" t="s">
        <v>482</v>
      </c>
      <c r="R97" s="12"/>
      <c r="S97" s="13" t="n">
        <f aca="false">SUM(L98:L107)</f>
        <v>13.078</v>
      </c>
      <c r="T97" s="14" t="n">
        <f aca="false">S97/L97</f>
        <v>0.477822433321155</v>
      </c>
    </row>
    <row r="98" customFormat="false" ht="15" hidden="false" customHeight="false" outlineLevel="0" collapsed="false">
      <c r="A98" s="9"/>
      <c r="B98" s="9" t="n">
        <v>13</v>
      </c>
      <c r="C98" s="9" t="s">
        <v>483</v>
      </c>
      <c r="D98" s="9" t="n">
        <v>2</v>
      </c>
      <c r="E98" s="9" t="n">
        <v>2</v>
      </c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 t="s">
        <v>484</v>
      </c>
      <c r="R98" s="9"/>
      <c r="S98" s="9"/>
      <c r="T98" s="9"/>
    </row>
    <row r="99" customFormat="false" ht="15" hidden="false" customHeight="false" outlineLevel="0" collapsed="false">
      <c r="B99" s="6" t="n">
        <v>13</v>
      </c>
      <c r="F99" s="6" t="s">
        <v>485</v>
      </c>
      <c r="G99" s="6" t="s">
        <v>213</v>
      </c>
      <c r="H99" s="6" t="n">
        <v>1</v>
      </c>
      <c r="I99" s="7" t="n">
        <v>2</v>
      </c>
      <c r="J99" s="7" t="n">
        <v>1.5</v>
      </c>
      <c r="K99" s="16" t="s">
        <v>226</v>
      </c>
      <c r="L99" s="7" t="n">
        <f aca="false">I99*J99</f>
        <v>3</v>
      </c>
      <c r="M99" s="7" t="n">
        <v>31.2</v>
      </c>
      <c r="N99" s="7" t="n">
        <v>-1.65</v>
      </c>
      <c r="O99" s="6" t="s">
        <v>486</v>
      </c>
      <c r="P99" s="6" t="s">
        <v>487</v>
      </c>
      <c r="Q99" s="6" t="s">
        <v>488</v>
      </c>
      <c r="R99" s="16" t="s">
        <v>281</v>
      </c>
    </row>
    <row r="100" customFormat="false" ht="15" hidden="false" customHeight="false" outlineLevel="0" collapsed="false">
      <c r="B100" s="6" t="n">
        <v>13</v>
      </c>
      <c r="F100" s="6" t="s">
        <v>489</v>
      </c>
      <c r="G100" s="6" t="s">
        <v>213</v>
      </c>
      <c r="H100" s="6" t="n">
        <v>1</v>
      </c>
      <c r="I100" s="7" t="n">
        <v>2</v>
      </c>
      <c r="J100" s="7" t="n">
        <v>1.5</v>
      </c>
      <c r="K100" s="16" t="s">
        <v>226</v>
      </c>
      <c r="L100" s="7" t="n">
        <f aca="false">I100*J100</f>
        <v>3</v>
      </c>
      <c r="M100" s="7" t="n">
        <v>33.65</v>
      </c>
      <c r="N100" s="7" t="n">
        <v>-1.65</v>
      </c>
      <c r="O100" s="6" t="s">
        <v>490</v>
      </c>
      <c r="P100" s="6" t="s">
        <v>487</v>
      </c>
      <c r="Q100" s="6" t="s">
        <v>491</v>
      </c>
      <c r="R100" s="16" t="s">
        <v>281</v>
      </c>
    </row>
    <row r="101" customFormat="false" ht="15" hidden="false" customHeight="false" outlineLevel="0" collapsed="false">
      <c r="B101" s="6" t="n">
        <v>13</v>
      </c>
      <c r="F101" s="6" t="s">
        <v>492</v>
      </c>
      <c r="G101" s="6" t="s">
        <v>237</v>
      </c>
      <c r="H101" s="6" t="n">
        <v>1</v>
      </c>
      <c r="I101" s="7" t="n">
        <v>0.6</v>
      </c>
      <c r="J101" s="7" t="n">
        <v>0.34</v>
      </c>
      <c r="K101" s="6" t="s">
        <v>220</v>
      </c>
      <c r="L101" s="7" t="n">
        <f aca="false">I101*J101</f>
        <v>0.204</v>
      </c>
      <c r="M101" s="7" t="n">
        <v>31.9</v>
      </c>
      <c r="N101" s="7" t="n">
        <v>-2.35</v>
      </c>
      <c r="O101" s="6" t="s">
        <v>493</v>
      </c>
      <c r="P101" s="6" t="s">
        <v>239</v>
      </c>
      <c r="Q101" s="6" t="s">
        <v>494</v>
      </c>
    </row>
    <row r="102" customFormat="false" ht="15" hidden="false" customHeight="false" outlineLevel="0" collapsed="false">
      <c r="B102" s="6" t="n">
        <v>13</v>
      </c>
      <c r="F102" s="6" t="s">
        <v>495</v>
      </c>
      <c r="G102" s="6" t="s">
        <v>237</v>
      </c>
      <c r="H102" s="6" t="n">
        <v>1</v>
      </c>
      <c r="I102" s="7" t="n">
        <v>0.6</v>
      </c>
      <c r="J102" s="7" t="n">
        <v>0.34</v>
      </c>
      <c r="K102" s="6" t="s">
        <v>220</v>
      </c>
      <c r="L102" s="7" t="n">
        <f aca="false">I102*J102</f>
        <v>0.204</v>
      </c>
      <c r="M102" s="7" t="n">
        <v>34.35</v>
      </c>
      <c r="N102" s="7" t="n">
        <v>-2.35</v>
      </c>
      <c r="O102" s="6" t="s">
        <v>496</v>
      </c>
      <c r="P102" s="6" t="s">
        <v>239</v>
      </c>
      <c r="Q102" s="6" t="s">
        <v>497</v>
      </c>
    </row>
    <row r="103" customFormat="false" ht="22.35" hidden="false" customHeight="false" outlineLevel="0" collapsed="false">
      <c r="B103" s="6" t="n">
        <v>13</v>
      </c>
      <c r="F103" s="6" t="s">
        <v>498</v>
      </c>
      <c r="G103" s="6" t="s">
        <v>253</v>
      </c>
      <c r="H103" s="6" t="n">
        <v>3</v>
      </c>
      <c r="I103" s="7" t="n">
        <v>3.6</v>
      </c>
      <c r="J103" s="7" t="n">
        <v>0.6</v>
      </c>
      <c r="K103" s="7" t="n">
        <v>2</v>
      </c>
      <c r="L103" s="7" t="n">
        <f aca="false">I103*J103</f>
        <v>2.16</v>
      </c>
      <c r="M103" s="7" t="n">
        <v>31.7</v>
      </c>
      <c r="N103" s="7" t="n">
        <v>-6</v>
      </c>
      <c r="O103" s="6" t="s">
        <v>334</v>
      </c>
      <c r="P103" s="6" t="s">
        <v>426</v>
      </c>
      <c r="Q103" s="6" t="s">
        <v>499</v>
      </c>
    </row>
    <row r="104" customFormat="false" ht="22.35" hidden="false" customHeight="false" outlineLevel="0" collapsed="false">
      <c r="B104" s="6" t="n">
        <v>13</v>
      </c>
      <c r="F104" s="6" t="s">
        <v>500</v>
      </c>
      <c r="G104" s="6" t="s">
        <v>253</v>
      </c>
      <c r="H104" s="6" t="n">
        <v>2</v>
      </c>
      <c r="I104" s="7" t="n">
        <v>0.6</v>
      </c>
      <c r="J104" s="7" t="n">
        <v>2.4</v>
      </c>
      <c r="K104" s="7" t="n">
        <v>2</v>
      </c>
      <c r="L104" s="7" t="n">
        <f aca="false">I104*J104</f>
        <v>1.44</v>
      </c>
      <c r="M104" s="7" t="n">
        <v>31.1</v>
      </c>
      <c r="N104" s="7" t="n">
        <v>-4.2</v>
      </c>
      <c r="O104" s="6" t="s">
        <v>429</v>
      </c>
      <c r="P104" s="6" t="s">
        <v>426</v>
      </c>
      <c r="Q104" s="6" t="s">
        <v>501</v>
      </c>
    </row>
    <row r="105" customFormat="false" ht="22.35" hidden="false" customHeight="false" outlineLevel="0" collapsed="false">
      <c r="B105" s="6" t="n">
        <v>13</v>
      </c>
      <c r="F105" s="6" t="s">
        <v>502</v>
      </c>
      <c r="G105" s="6" t="s">
        <v>253</v>
      </c>
      <c r="H105" s="6" t="n">
        <v>2</v>
      </c>
      <c r="I105" s="7" t="n">
        <v>0.6</v>
      </c>
      <c r="J105" s="7" t="n">
        <v>2.4</v>
      </c>
      <c r="K105" s="7" t="n">
        <v>2</v>
      </c>
      <c r="L105" s="7" t="n">
        <f aca="false">I105*J105</f>
        <v>1.44</v>
      </c>
      <c r="M105" s="7" t="n">
        <v>35.1</v>
      </c>
      <c r="N105" s="7" t="n">
        <v>-5.4</v>
      </c>
      <c r="O105" s="6" t="s">
        <v>369</v>
      </c>
      <c r="P105" s="6" t="s">
        <v>426</v>
      </c>
      <c r="Q105" s="6" t="s">
        <v>503</v>
      </c>
    </row>
    <row r="106" customFormat="false" ht="22.35" hidden="false" customHeight="false" outlineLevel="0" collapsed="false">
      <c r="B106" s="6" t="n">
        <v>13</v>
      </c>
      <c r="F106" s="6" t="s">
        <v>504</v>
      </c>
      <c r="G106" s="6" t="s">
        <v>253</v>
      </c>
      <c r="H106" s="6" t="n">
        <v>1</v>
      </c>
      <c r="I106" s="7" t="n">
        <v>0.6</v>
      </c>
      <c r="J106" s="7" t="n">
        <v>1.2</v>
      </c>
      <c r="K106" s="7" t="n">
        <v>2</v>
      </c>
      <c r="L106" s="7" t="n">
        <f aca="false">I106*J106</f>
        <v>0.72</v>
      </c>
      <c r="M106" s="7" t="n">
        <v>31.1</v>
      </c>
      <c r="N106" s="7" t="n">
        <v>-5.4</v>
      </c>
      <c r="O106" s="6" t="s">
        <v>505</v>
      </c>
      <c r="P106" s="6" t="s">
        <v>506</v>
      </c>
      <c r="Q106" s="6" t="s">
        <v>507</v>
      </c>
    </row>
    <row r="107" customFormat="false" ht="22.35" hidden="false" customHeight="false" outlineLevel="0" collapsed="false">
      <c r="B107" s="6" t="n">
        <v>13</v>
      </c>
      <c r="F107" s="6" t="s">
        <v>508</v>
      </c>
      <c r="G107" s="6" t="s">
        <v>259</v>
      </c>
      <c r="H107" s="6" t="n">
        <v>1</v>
      </c>
      <c r="I107" s="7" t="n">
        <v>0.7</v>
      </c>
      <c r="J107" s="7" t="n">
        <v>1.3</v>
      </c>
      <c r="K107" s="16" t="s">
        <v>226</v>
      </c>
      <c r="L107" s="7" t="n">
        <f aca="false">I107*J107</f>
        <v>0.91</v>
      </c>
      <c r="M107" s="7" t="n">
        <v>35</v>
      </c>
      <c r="N107" s="7" t="n">
        <v>-2.95</v>
      </c>
      <c r="O107" s="6" t="s">
        <v>389</v>
      </c>
      <c r="P107" s="6" t="s">
        <v>406</v>
      </c>
      <c r="Q107" s="6" t="s">
        <v>509</v>
      </c>
      <c r="R107" s="16" t="s">
        <v>263</v>
      </c>
    </row>
    <row r="108" customFormat="false" ht="22.35" hidden="false" customHeight="false" outlineLevel="0" collapsed="false">
      <c r="A108" s="12" t="s">
        <v>60</v>
      </c>
      <c r="B108" s="12"/>
      <c r="C108" s="12" t="s">
        <v>61</v>
      </c>
      <c r="D108" s="12"/>
      <c r="E108" s="12"/>
      <c r="F108" s="12" t="s">
        <v>207</v>
      </c>
      <c r="G108" s="12"/>
      <c r="H108" s="12"/>
      <c r="I108" s="13" t="n">
        <v>1.6</v>
      </c>
      <c r="J108" s="13" t="n">
        <v>5.95</v>
      </c>
      <c r="K108" s="12"/>
      <c r="L108" s="13" t="n">
        <f aca="false">I108*J108</f>
        <v>9.52</v>
      </c>
      <c r="M108" s="13" t="n">
        <v>36.9</v>
      </c>
      <c r="N108" s="13" t="n">
        <v>-6</v>
      </c>
      <c r="O108" s="12" t="s">
        <v>510</v>
      </c>
      <c r="P108" s="12"/>
      <c r="Q108" s="12" t="s">
        <v>511</v>
      </c>
      <c r="R108" s="12"/>
      <c r="S108" s="13" t="n">
        <f aca="false">SUM(L109:L112)</f>
        <v>2.284</v>
      </c>
      <c r="T108" s="14" t="n">
        <f aca="false">S108/L108</f>
        <v>0.239915966386555</v>
      </c>
    </row>
    <row r="109" customFormat="false" ht="15" hidden="false" customHeight="false" outlineLevel="0" collapsed="false">
      <c r="A109" s="9"/>
      <c r="B109" s="9" t="n">
        <v>14</v>
      </c>
      <c r="C109" s="9" t="s">
        <v>512</v>
      </c>
      <c r="D109" s="9" t="n">
        <v>1</v>
      </c>
      <c r="E109" s="9" t="n">
        <v>1</v>
      </c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 t="s">
        <v>513</v>
      </c>
      <c r="R109" s="9"/>
      <c r="S109" s="9"/>
      <c r="T109" s="9"/>
    </row>
    <row r="110" customFormat="false" ht="15" hidden="false" customHeight="false" outlineLevel="0" collapsed="false">
      <c r="B110" s="6" t="n">
        <v>14</v>
      </c>
      <c r="F110" s="6" t="s">
        <v>514</v>
      </c>
      <c r="G110" s="6" t="s">
        <v>213</v>
      </c>
      <c r="H110" s="6" t="n">
        <v>1</v>
      </c>
      <c r="I110" s="7" t="n">
        <v>1.6</v>
      </c>
      <c r="J110" s="7" t="n">
        <v>0.8</v>
      </c>
      <c r="K110" s="16" t="s">
        <v>226</v>
      </c>
      <c r="L110" s="7" t="n">
        <f aca="false">I110*J110</f>
        <v>1.28</v>
      </c>
      <c r="M110" s="7" t="n">
        <v>36.9</v>
      </c>
      <c r="N110" s="7" t="n">
        <v>-2.3</v>
      </c>
      <c r="O110" s="6" t="s">
        <v>476</v>
      </c>
      <c r="P110" s="6"/>
      <c r="Q110" s="6" t="s">
        <v>515</v>
      </c>
      <c r="R110" s="16" t="s">
        <v>516</v>
      </c>
    </row>
    <row r="111" customFormat="false" ht="15" hidden="false" customHeight="false" outlineLevel="0" collapsed="false">
      <c r="B111" s="6" t="n">
        <v>14</v>
      </c>
      <c r="F111" s="6" t="s">
        <v>517</v>
      </c>
      <c r="G111" s="6" t="s">
        <v>219</v>
      </c>
      <c r="H111" s="6" t="n">
        <v>1</v>
      </c>
      <c r="I111" s="7" t="n">
        <v>1.6</v>
      </c>
      <c r="J111" s="7" t="n">
        <v>0.5</v>
      </c>
      <c r="K111" s="6" t="s">
        <v>220</v>
      </c>
      <c r="L111" s="7" t="n">
        <f aca="false">I111*J111</f>
        <v>0.8</v>
      </c>
      <c r="M111" s="7" t="n">
        <v>36.9</v>
      </c>
      <c r="N111" s="7" t="n">
        <v>-1.2</v>
      </c>
      <c r="O111" s="6" t="s">
        <v>457</v>
      </c>
      <c r="P111" s="6" t="s">
        <v>518</v>
      </c>
      <c r="Q111" s="6" t="s">
        <v>519</v>
      </c>
    </row>
    <row r="112" customFormat="false" ht="15" hidden="false" customHeight="false" outlineLevel="0" collapsed="false">
      <c r="B112" s="6" t="n">
        <v>14</v>
      </c>
      <c r="F112" s="6" t="s">
        <v>303</v>
      </c>
      <c r="G112" s="6" t="s">
        <v>237</v>
      </c>
      <c r="H112" s="6" t="n">
        <v>1</v>
      </c>
      <c r="I112" s="7" t="n">
        <v>0.6</v>
      </c>
      <c r="J112" s="7" t="n">
        <v>0.34</v>
      </c>
      <c r="K112" s="6" t="s">
        <v>220</v>
      </c>
      <c r="L112" s="7" t="n">
        <f aca="false">I112*J112</f>
        <v>0.204</v>
      </c>
      <c r="M112" s="7" t="n">
        <v>37.4</v>
      </c>
      <c r="N112" s="7" t="n">
        <v>-2.72</v>
      </c>
      <c r="O112" s="6" t="s">
        <v>520</v>
      </c>
      <c r="P112" s="6" t="s">
        <v>239</v>
      </c>
      <c r="Q112" s="6" t="s">
        <v>521</v>
      </c>
    </row>
    <row r="113" customFormat="false" ht="64.15" hidden="false" customHeight="false" outlineLevel="0" collapsed="false">
      <c r="A113" s="12" t="s">
        <v>62</v>
      </c>
      <c r="B113" s="12"/>
      <c r="C113" s="12" t="s">
        <v>63</v>
      </c>
      <c r="D113" s="12"/>
      <c r="E113" s="12"/>
      <c r="F113" s="12" t="s">
        <v>207</v>
      </c>
      <c r="G113" s="12"/>
      <c r="H113" s="12"/>
      <c r="I113" s="13" t="n">
        <v>10.2</v>
      </c>
      <c r="J113" s="13" t="n">
        <v>5.95</v>
      </c>
      <c r="K113" s="12"/>
      <c r="L113" s="13" t="n">
        <f aca="false">I113*J113</f>
        <v>60.69</v>
      </c>
      <c r="M113" s="13" t="n">
        <v>39.5</v>
      </c>
      <c r="N113" s="13" t="n">
        <v>-6</v>
      </c>
      <c r="O113" s="12" t="s">
        <v>522</v>
      </c>
      <c r="P113" s="12"/>
      <c r="Q113" s="12" t="s">
        <v>523</v>
      </c>
      <c r="R113" s="12"/>
      <c r="S113" s="13" t="n">
        <f aca="false">SUM(L114:L129)</f>
        <v>23.902</v>
      </c>
      <c r="T113" s="14" t="n">
        <f aca="false">S113/L113</f>
        <v>0.393837535014006</v>
      </c>
    </row>
    <row r="114" customFormat="false" ht="15" hidden="false" customHeight="false" outlineLevel="0" collapsed="false">
      <c r="A114" s="9"/>
      <c r="B114" s="9" t="n">
        <v>15</v>
      </c>
      <c r="C114" s="9" t="s">
        <v>524</v>
      </c>
      <c r="D114" s="9" t="n">
        <v>2</v>
      </c>
      <c r="E114" s="9" t="n">
        <v>2</v>
      </c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 t="s">
        <v>525</v>
      </c>
      <c r="R114" s="9"/>
      <c r="S114" s="9"/>
      <c r="T114" s="9"/>
    </row>
    <row r="115" customFormat="false" ht="15" hidden="false" customHeight="false" outlineLevel="0" collapsed="false">
      <c r="B115" s="6" t="n">
        <v>15</v>
      </c>
      <c r="F115" s="6" t="s">
        <v>526</v>
      </c>
      <c r="G115" s="6" t="s">
        <v>213</v>
      </c>
      <c r="H115" s="6" t="n">
        <v>1</v>
      </c>
      <c r="I115" s="7" t="n">
        <v>1.9</v>
      </c>
      <c r="J115" s="7" t="n">
        <v>1.4</v>
      </c>
      <c r="K115" s="16" t="s">
        <v>226</v>
      </c>
      <c r="L115" s="7" t="n">
        <f aca="false">I115*J115</f>
        <v>2.66</v>
      </c>
      <c r="M115" s="7" t="n">
        <v>39.65</v>
      </c>
      <c r="N115" s="7" t="n">
        <v>-5.45</v>
      </c>
      <c r="O115" s="6" t="s">
        <v>346</v>
      </c>
      <c r="P115" s="6"/>
      <c r="Q115" s="6" t="s">
        <v>527</v>
      </c>
      <c r="R115" s="16" t="s">
        <v>281</v>
      </c>
    </row>
    <row r="116" customFormat="false" ht="15" hidden="false" customHeight="false" outlineLevel="0" collapsed="false">
      <c r="B116" s="6" t="n">
        <v>15</v>
      </c>
      <c r="F116" s="6" t="s">
        <v>528</v>
      </c>
      <c r="G116" s="6" t="s">
        <v>213</v>
      </c>
      <c r="H116" s="6" t="n">
        <v>1</v>
      </c>
      <c r="I116" s="7" t="n">
        <v>1.9</v>
      </c>
      <c r="J116" s="7" t="n">
        <v>1.4</v>
      </c>
      <c r="K116" s="16" t="s">
        <v>226</v>
      </c>
      <c r="L116" s="7" t="n">
        <f aca="false">I116*J116</f>
        <v>2.66</v>
      </c>
      <c r="M116" s="7" t="n">
        <v>41.7</v>
      </c>
      <c r="N116" s="7" t="n">
        <v>-5.45</v>
      </c>
      <c r="O116" s="6" t="s">
        <v>396</v>
      </c>
      <c r="P116" s="6"/>
      <c r="Q116" s="6" t="s">
        <v>529</v>
      </c>
      <c r="R116" s="16" t="s">
        <v>281</v>
      </c>
    </row>
    <row r="117" customFormat="false" ht="15" hidden="false" customHeight="false" outlineLevel="0" collapsed="false">
      <c r="B117" s="6" t="n">
        <v>15</v>
      </c>
      <c r="F117" s="6" t="s">
        <v>530</v>
      </c>
      <c r="G117" s="6" t="s">
        <v>237</v>
      </c>
      <c r="H117" s="6" t="n">
        <v>1</v>
      </c>
      <c r="I117" s="7" t="n">
        <v>0.6</v>
      </c>
      <c r="J117" s="7" t="n">
        <v>0.34</v>
      </c>
      <c r="K117" s="6" t="s">
        <v>220</v>
      </c>
      <c r="L117" s="7" t="n">
        <f aca="false">I117*J117</f>
        <v>0.204</v>
      </c>
      <c r="M117" s="7" t="n">
        <v>40.3</v>
      </c>
      <c r="N117" s="7" t="n">
        <v>-3.95</v>
      </c>
      <c r="O117" s="6" t="s">
        <v>531</v>
      </c>
      <c r="P117" s="6" t="s">
        <v>239</v>
      </c>
      <c r="Q117" s="6" t="s">
        <v>532</v>
      </c>
    </row>
    <row r="118" customFormat="false" ht="22.35" hidden="false" customHeight="false" outlineLevel="0" collapsed="false">
      <c r="B118" s="6" t="n">
        <v>15</v>
      </c>
      <c r="F118" s="6" t="s">
        <v>533</v>
      </c>
      <c r="G118" s="6" t="s">
        <v>253</v>
      </c>
      <c r="H118" s="6" t="n">
        <v>5</v>
      </c>
      <c r="I118" s="7" t="n">
        <v>2.3</v>
      </c>
      <c r="J118" s="7" t="n">
        <v>1.2</v>
      </c>
      <c r="K118" s="16" t="s">
        <v>226</v>
      </c>
      <c r="L118" s="7" t="n">
        <f aca="false">I118*J118</f>
        <v>2.76</v>
      </c>
      <c r="M118" s="7" t="n">
        <v>41.6</v>
      </c>
      <c r="N118" s="7" t="n">
        <v>-2.05</v>
      </c>
      <c r="O118" s="6" t="s">
        <v>531</v>
      </c>
      <c r="P118" s="6" t="s">
        <v>534</v>
      </c>
      <c r="Q118" s="6" t="s">
        <v>535</v>
      </c>
      <c r="R118" s="16" t="s">
        <v>263</v>
      </c>
    </row>
    <row r="119" customFormat="false" ht="15" hidden="false" customHeight="false" outlineLevel="0" collapsed="false">
      <c r="B119" s="6" t="n">
        <v>15</v>
      </c>
      <c r="F119" s="6" t="s">
        <v>536</v>
      </c>
      <c r="G119" s="6" t="s">
        <v>225</v>
      </c>
      <c r="H119" s="6" t="n">
        <v>1</v>
      </c>
      <c r="I119" s="7" t="n">
        <v>1.8</v>
      </c>
      <c r="J119" s="7" t="n">
        <v>1</v>
      </c>
      <c r="K119" s="16" t="s">
        <v>226</v>
      </c>
      <c r="L119" s="7" t="n">
        <f aca="false">I119*J119</f>
        <v>1.8</v>
      </c>
      <c r="M119" s="7" t="n">
        <v>39.65</v>
      </c>
      <c r="N119" s="7" t="n">
        <v>-2.6</v>
      </c>
      <c r="O119" s="6" t="s">
        <v>537</v>
      </c>
      <c r="P119" s="6"/>
      <c r="Q119" s="6" t="s">
        <v>538</v>
      </c>
      <c r="R119" s="16" t="s">
        <v>281</v>
      </c>
    </row>
    <row r="120" customFormat="false" ht="15" hidden="false" customHeight="false" outlineLevel="0" collapsed="false">
      <c r="B120" s="6" t="n">
        <v>15</v>
      </c>
      <c r="F120" s="6" t="s">
        <v>539</v>
      </c>
      <c r="G120" s="6" t="s">
        <v>225</v>
      </c>
      <c r="H120" s="6" t="n">
        <v>1</v>
      </c>
      <c r="I120" s="7" t="n">
        <v>1.4</v>
      </c>
      <c r="J120" s="7" t="n">
        <v>1.4</v>
      </c>
      <c r="K120" s="16" t="s">
        <v>226</v>
      </c>
      <c r="L120" s="7" t="n">
        <f aca="false">I120*J120</f>
        <v>1.96</v>
      </c>
      <c r="M120" s="7" t="n">
        <v>44.4</v>
      </c>
      <c r="N120" s="7" t="n">
        <v>-2.7</v>
      </c>
      <c r="O120" s="6" t="s">
        <v>540</v>
      </c>
      <c r="P120" s="6" t="s">
        <v>541</v>
      </c>
      <c r="Q120" s="6" t="s">
        <v>542</v>
      </c>
      <c r="R120" s="16" t="s">
        <v>281</v>
      </c>
    </row>
    <row r="121" customFormat="false" ht="15" hidden="false" customHeight="false" outlineLevel="0" collapsed="false">
      <c r="B121" s="6" t="n">
        <v>15</v>
      </c>
      <c r="F121" s="6" t="s">
        <v>543</v>
      </c>
      <c r="G121" s="6" t="s">
        <v>225</v>
      </c>
      <c r="H121" s="6" t="n">
        <v>1</v>
      </c>
      <c r="I121" s="7" t="n">
        <v>9.9</v>
      </c>
      <c r="J121" s="7" t="n">
        <v>0.22</v>
      </c>
      <c r="K121" s="16" t="s">
        <v>226</v>
      </c>
      <c r="L121" s="7" t="n">
        <f aca="false">I121*J121</f>
        <v>2.178</v>
      </c>
      <c r="M121" s="7" t="n">
        <v>39.65</v>
      </c>
      <c r="N121" s="7" t="n">
        <v>-0.75</v>
      </c>
      <c r="O121" s="6" t="s">
        <v>544</v>
      </c>
      <c r="P121" s="6"/>
      <c r="Q121" s="6" t="s">
        <v>545</v>
      </c>
      <c r="R121" s="16" t="s">
        <v>546</v>
      </c>
    </row>
    <row r="122" customFormat="false" ht="15" hidden="false" customHeight="false" outlineLevel="0" collapsed="false">
      <c r="A122" s="9"/>
      <c r="B122" s="9" t="n">
        <v>16</v>
      </c>
      <c r="C122" s="9" t="s">
        <v>547</v>
      </c>
      <c r="D122" s="9" t="n">
        <v>4</v>
      </c>
      <c r="E122" s="9" t="n">
        <v>2</v>
      </c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 t="s">
        <v>548</v>
      </c>
      <c r="R122" s="9"/>
      <c r="S122" s="9"/>
      <c r="T122" s="9"/>
    </row>
    <row r="123" customFormat="false" ht="15" hidden="false" customHeight="false" outlineLevel="0" collapsed="false">
      <c r="B123" s="6" t="n">
        <v>16</v>
      </c>
      <c r="F123" s="6" t="s">
        <v>549</v>
      </c>
      <c r="G123" s="6" t="s">
        <v>213</v>
      </c>
      <c r="H123" s="6" t="n">
        <v>1</v>
      </c>
      <c r="I123" s="7" t="n">
        <v>4</v>
      </c>
      <c r="J123" s="7" t="n">
        <v>0.35</v>
      </c>
      <c r="K123" s="16" t="s">
        <v>226</v>
      </c>
      <c r="L123" s="7" t="n">
        <f aca="false">I123*J123</f>
        <v>1.4</v>
      </c>
      <c r="M123" s="7" t="n">
        <v>39.65</v>
      </c>
      <c r="N123" s="7" t="n">
        <v>-3.35</v>
      </c>
      <c r="O123" s="6" t="s">
        <v>550</v>
      </c>
      <c r="P123" s="6" t="s">
        <v>551</v>
      </c>
      <c r="Q123" s="6" t="s">
        <v>552</v>
      </c>
      <c r="R123" s="16" t="s">
        <v>281</v>
      </c>
    </row>
    <row r="124" customFormat="false" ht="15" hidden="false" customHeight="false" outlineLevel="0" collapsed="false">
      <c r="B124" s="6" t="n">
        <v>16</v>
      </c>
      <c r="F124" s="6" t="s">
        <v>553</v>
      </c>
      <c r="G124" s="6" t="s">
        <v>213</v>
      </c>
      <c r="H124" s="6" t="n">
        <v>1</v>
      </c>
      <c r="I124" s="7" t="n">
        <v>1.15</v>
      </c>
      <c r="J124" s="7" t="n">
        <v>1</v>
      </c>
      <c r="K124" s="16" t="s">
        <v>226</v>
      </c>
      <c r="L124" s="7" t="n">
        <f aca="false">I124*J124</f>
        <v>1.15</v>
      </c>
      <c r="M124" s="7" t="n">
        <v>43.9</v>
      </c>
      <c r="N124" s="7" t="n">
        <v>-5.45</v>
      </c>
      <c r="O124" s="6" t="s">
        <v>323</v>
      </c>
      <c r="P124" s="6"/>
      <c r="Q124" s="6" t="s">
        <v>554</v>
      </c>
      <c r="R124" s="16" t="s">
        <v>281</v>
      </c>
    </row>
    <row r="125" customFormat="false" ht="15" hidden="false" customHeight="false" outlineLevel="0" collapsed="false">
      <c r="B125" s="6" t="n">
        <v>16</v>
      </c>
      <c r="F125" s="6" t="s">
        <v>555</v>
      </c>
      <c r="G125" s="6" t="s">
        <v>213</v>
      </c>
      <c r="H125" s="6" t="n">
        <v>1</v>
      </c>
      <c r="I125" s="7" t="n">
        <v>1.15</v>
      </c>
      <c r="J125" s="7" t="n">
        <v>1</v>
      </c>
      <c r="K125" s="16" t="s">
        <v>226</v>
      </c>
      <c r="L125" s="7" t="n">
        <f aca="false">I125*J125</f>
        <v>1.15</v>
      </c>
      <c r="M125" s="7" t="n">
        <v>45.15</v>
      </c>
      <c r="N125" s="7" t="n">
        <v>-5.45</v>
      </c>
      <c r="O125" s="6" t="s">
        <v>323</v>
      </c>
      <c r="P125" s="6"/>
      <c r="Q125" s="6" t="s">
        <v>556</v>
      </c>
      <c r="R125" s="16" t="s">
        <v>281</v>
      </c>
    </row>
    <row r="126" customFormat="false" ht="15" hidden="false" customHeight="false" outlineLevel="0" collapsed="false">
      <c r="B126" s="6" t="n">
        <v>16</v>
      </c>
      <c r="F126" s="6" t="s">
        <v>557</v>
      </c>
      <c r="G126" s="6" t="s">
        <v>213</v>
      </c>
      <c r="H126" s="6" t="n">
        <v>1</v>
      </c>
      <c r="I126" s="7" t="n">
        <v>1.15</v>
      </c>
      <c r="J126" s="7" t="n">
        <v>1</v>
      </c>
      <c r="K126" s="16" t="s">
        <v>226</v>
      </c>
      <c r="L126" s="7" t="n">
        <f aca="false">I126*J126</f>
        <v>1.15</v>
      </c>
      <c r="M126" s="7" t="n">
        <v>43.9</v>
      </c>
      <c r="N126" s="7" t="n">
        <v>-4.3</v>
      </c>
      <c r="O126" s="6" t="s">
        <v>323</v>
      </c>
      <c r="P126" s="6"/>
      <c r="Q126" s="6" t="s">
        <v>558</v>
      </c>
      <c r="R126" s="16" t="s">
        <v>281</v>
      </c>
    </row>
    <row r="127" customFormat="false" ht="15" hidden="false" customHeight="false" outlineLevel="0" collapsed="false">
      <c r="B127" s="6" t="n">
        <v>16</v>
      </c>
      <c r="F127" s="6" t="s">
        <v>559</v>
      </c>
      <c r="G127" s="6" t="s">
        <v>213</v>
      </c>
      <c r="H127" s="6" t="n">
        <v>1</v>
      </c>
      <c r="I127" s="7" t="n">
        <v>1.15</v>
      </c>
      <c r="J127" s="7" t="n">
        <v>1</v>
      </c>
      <c r="K127" s="16" t="s">
        <v>226</v>
      </c>
      <c r="L127" s="7" t="n">
        <f aca="false">I127*J127</f>
        <v>1.15</v>
      </c>
      <c r="M127" s="7" t="n">
        <v>45.15</v>
      </c>
      <c r="N127" s="7" t="n">
        <v>-4.3</v>
      </c>
      <c r="O127" s="6" t="s">
        <v>323</v>
      </c>
      <c r="P127" s="6"/>
      <c r="Q127" s="6" t="s">
        <v>560</v>
      </c>
      <c r="R127" s="16" t="s">
        <v>281</v>
      </c>
    </row>
    <row r="128" customFormat="false" ht="15" hidden="false" customHeight="false" outlineLevel="0" collapsed="false">
      <c r="B128" s="6" t="n">
        <v>16</v>
      </c>
      <c r="F128" s="6" t="s">
        <v>561</v>
      </c>
      <c r="G128" s="6" t="s">
        <v>225</v>
      </c>
      <c r="H128" s="6" t="n">
        <v>1</v>
      </c>
      <c r="I128" s="7" t="n">
        <v>1.6</v>
      </c>
      <c r="J128" s="7" t="n">
        <v>0.5</v>
      </c>
      <c r="K128" s="16" t="s">
        <v>226</v>
      </c>
      <c r="L128" s="7" t="n">
        <f aca="false">I128*J128</f>
        <v>0.8</v>
      </c>
      <c r="M128" s="7" t="n">
        <v>46.5</v>
      </c>
      <c r="N128" s="7" t="n">
        <v>-2.3</v>
      </c>
      <c r="O128" s="6" t="s">
        <v>562</v>
      </c>
      <c r="P128" s="6"/>
      <c r="Q128" s="6" t="s">
        <v>563</v>
      </c>
      <c r="R128" s="16" t="s">
        <v>281</v>
      </c>
    </row>
    <row r="129" customFormat="false" ht="22.35" hidden="false" customHeight="false" outlineLevel="0" collapsed="false">
      <c r="B129" s="6" t="n">
        <v>16</v>
      </c>
      <c r="F129" s="6" t="s">
        <v>564</v>
      </c>
      <c r="G129" s="6" t="s">
        <v>253</v>
      </c>
      <c r="H129" s="6" t="n">
        <v>3</v>
      </c>
      <c r="I129" s="7" t="n">
        <v>3.2</v>
      </c>
      <c r="J129" s="7" t="n">
        <v>0.9</v>
      </c>
      <c r="K129" s="16" t="s">
        <v>226</v>
      </c>
      <c r="L129" s="7" t="n">
        <f aca="false">I129*J129</f>
        <v>2.88</v>
      </c>
      <c r="M129" s="7" t="n">
        <v>46.4</v>
      </c>
      <c r="N129" s="7" t="n">
        <v>-1.75</v>
      </c>
      <c r="O129" s="6" t="s">
        <v>562</v>
      </c>
      <c r="P129" s="6" t="s">
        <v>565</v>
      </c>
      <c r="Q129" s="6" t="s">
        <v>566</v>
      </c>
      <c r="R129" s="16" t="s">
        <v>263</v>
      </c>
    </row>
    <row r="130" customFormat="false" ht="53.7" hidden="false" customHeight="false" outlineLevel="0" collapsed="false">
      <c r="A130" s="12" t="s">
        <v>64</v>
      </c>
      <c r="B130" s="12"/>
      <c r="C130" s="12" t="s">
        <v>65</v>
      </c>
      <c r="D130" s="12"/>
      <c r="E130" s="12"/>
      <c r="F130" s="12" t="s">
        <v>207</v>
      </c>
      <c r="G130" s="12"/>
      <c r="H130" s="12"/>
      <c r="I130" s="13" t="n">
        <v>10.3</v>
      </c>
      <c r="J130" s="13" t="n">
        <v>4.45</v>
      </c>
      <c r="K130" s="12"/>
      <c r="L130" s="13" t="n">
        <f aca="false">I130*J130</f>
        <v>45.835</v>
      </c>
      <c r="M130" s="13" t="n">
        <v>32</v>
      </c>
      <c r="N130" s="13" t="n">
        <v>-12</v>
      </c>
      <c r="O130" s="12" t="s">
        <v>567</v>
      </c>
      <c r="P130" s="12"/>
      <c r="Q130" s="12" t="s">
        <v>568</v>
      </c>
      <c r="R130" s="12"/>
      <c r="S130" s="13" t="n">
        <f aca="false">SUM(L131:L147)</f>
        <v>21.603</v>
      </c>
      <c r="T130" s="14" t="n">
        <f aca="false">S130/L130</f>
        <v>0.471321042871168</v>
      </c>
    </row>
    <row r="131" customFormat="false" ht="15" hidden="false" customHeight="false" outlineLevel="0" collapsed="false">
      <c r="A131" s="9"/>
      <c r="B131" s="9" t="n">
        <v>17</v>
      </c>
      <c r="C131" s="9" t="s">
        <v>569</v>
      </c>
      <c r="D131" s="9" t="n">
        <v>1</v>
      </c>
      <c r="E131" s="9" t="n">
        <v>2</v>
      </c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 t="s">
        <v>570</v>
      </c>
      <c r="R131" s="9"/>
      <c r="S131" s="9"/>
      <c r="T131" s="9"/>
    </row>
    <row r="132" customFormat="false" ht="15" hidden="false" customHeight="false" outlineLevel="0" collapsed="false">
      <c r="B132" s="6" t="n">
        <v>17</v>
      </c>
      <c r="F132" s="6" t="s">
        <v>571</v>
      </c>
      <c r="G132" s="6" t="s">
        <v>213</v>
      </c>
      <c r="H132" s="6" t="n">
        <v>1</v>
      </c>
      <c r="I132" s="7" t="n">
        <v>3.2</v>
      </c>
      <c r="J132" s="7" t="n">
        <v>1.5</v>
      </c>
      <c r="K132" s="16" t="s">
        <v>226</v>
      </c>
      <c r="L132" s="7" t="n">
        <f aca="false">I132*J132</f>
        <v>4.8</v>
      </c>
      <c r="M132" s="7" t="n">
        <v>36.7</v>
      </c>
      <c r="N132" s="7" t="n">
        <v>-10.55</v>
      </c>
      <c r="O132" s="6" t="s">
        <v>323</v>
      </c>
      <c r="P132" s="6"/>
      <c r="Q132" s="6" t="s">
        <v>572</v>
      </c>
      <c r="R132" s="16" t="s">
        <v>281</v>
      </c>
    </row>
    <row r="133" customFormat="false" ht="15" hidden="false" customHeight="false" outlineLevel="0" collapsed="false">
      <c r="B133" s="6" t="n">
        <v>17</v>
      </c>
      <c r="F133" s="6" t="s">
        <v>573</v>
      </c>
      <c r="G133" s="6" t="s">
        <v>225</v>
      </c>
      <c r="H133" s="6" t="n">
        <v>1</v>
      </c>
      <c r="I133" s="7" t="n">
        <v>2</v>
      </c>
      <c r="J133" s="7" t="n">
        <v>0.7</v>
      </c>
      <c r="K133" s="16" t="s">
        <v>226</v>
      </c>
      <c r="L133" s="7" t="n">
        <f aca="false">I133*J133</f>
        <v>1.4</v>
      </c>
      <c r="M133" s="7" t="n">
        <v>40.1</v>
      </c>
      <c r="N133" s="7" t="n">
        <v>-10.1</v>
      </c>
      <c r="O133" s="6" t="s">
        <v>574</v>
      </c>
      <c r="P133" s="6"/>
      <c r="Q133" s="6" t="s">
        <v>575</v>
      </c>
      <c r="R133" s="16" t="s">
        <v>281</v>
      </c>
    </row>
    <row r="134" customFormat="false" ht="15" hidden="false" customHeight="false" outlineLevel="0" collapsed="false">
      <c r="B134" s="6" t="n">
        <v>17</v>
      </c>
      <c r="F134" s="6" t="s">
        <v>576</v>
      </c>
      <c r="G134" s="6" t="s">
        <v>225</v>
      </c>
      <c r="H134" s="6" t="n">
        <v>1</v>
      </c>
      <c r="I134" s="7" t="n">
        <v>1.9</v>
      </c>
      <c r="J134" s="7" t="n">
        <v>0.7</v>
      </c>
      <c r="K134" s="16" t="s">
        <v>226</v>
      </c>
      <c r="L134" s="7" t="n">
        <f aca="false">I134*J134</f>
        <v>1.33</v>
      </c>
      <c r="M134" s="7" t="n">
        <v>34.6</v>
      </c>
      <c r="N134" s="7" t="n">
        <v>-10.1</v>
      </c>
      <c r="O134" s="6" t="s">
        <v>577</v>
      </c>
      <c r="P134" s="6"/>
      <c r="Q134" s="6" t="s">
        <v>578</v>
      </c>
      <c r="R134" s="16" t="s">
        <v>281</v>
      </c>
    </row>
    <row r="135" customFormat="false" ht="15" hidden="false" customHeight="false" outlineLevel="0" collapsed="false">
      <c r="B135" s="6" t="n">
        <v>17</v>
      </c>
      <c r="F135" s="6" t="s">
        <v>579</v>
      </c>
      <c r="G135" s="6" t="s">
        <v>213</v>
      </c>
      <c r="H135" s="6" t="n">
        <v>1</v>
      </c>
      <c r="I135" s="7" t="n">
        <v>1.6</v>
      </c>
      <c r="J135" s="7" t="n">
        <v>1</v>
      </c>
      <c r="K135" s="16" t="s">
        <v>226</v>
      </c>
      <c r="L135" s="7" t="n">
        <f aca="false">I135*J135</f>
        <v>1.6</v>
      </c>
      <c r="M135" s="7" t="n">
        <v>38.9</v>
      </c>
      <c r="N135" s="7" t="n">
        <v>-11.6</v>
      </c>
      <c r="O135" s="6" t="s">
        <v>355</v>
      </c>
      <c r="P135" s="6"/>
      <c r="Q135" s="6" t="s">
        <v>580</v>
      </c>
      <c r="R135" s="16" t="s">
        <v>281</v>
      </c>
    </row>
    <row r="136" customFormat="false" ht="15" hidden="false" customHeight="false" outlineLevel="0" collapsed="false">
      <c r="B136" s="6" t="n">
        <v>17</v>
      </c>
      <c r="F136" s="6" t="s">
        <v>581</v>
      </c>
      <c r="G136" s="6" t="s">
        <v>225</v>
      </c>
      <c r="H136" s="6" t="n">
        <v>1</v>
      </c>
      <c r="I136" s="7" t="n">
        <v>1.3</v>
      </c>
      <c r="J136" s="7" t="n">
        <v>1</v>
      </c>
      <c r="K136" s="16" t="s">
        <v>226</v>
      </c>
      <c r="L136" s="7" t="n">
        <f aca="false">I136*J136</f>
        <v>1.3</v>
      </c>
      <c r="M136" s="7" t="n">
        <v>40.8</v>
      </c>
      <c r="N136" s="7" t="n">
        <v>-11.6</v>
      </c>
      <c r="O136" s="6" t="s">
        <v>355</v>
      </c>
      <c r="P136" s="6"/>
      <c r="Q136" s="6" t="s">
        <v>582</v>
      </c>
    </row>
    <row r="137" customFormat="false" ht="15" hidden="false" customHeight="false" outlineLevel="0" collapsed="false">
      <c r="B137" s="6" t="n">
        <v>17</v>
      </c>
      <c r="F137" s="6" t="s">
        <v>583</v>
      </c>
      <c r="G137" s="6" t="s">
        <v>237</v>
      </c>
      <c r="H137" s="6" t="n">
        <v>1</v>
      </c>
      <c r="I137" s="7" t="n">
        <v>0.6</v>
      </c>
      <c r="J137" s="7" t="n">
        <v>0.34</v>
      </c>
      <c r="K137" s="6" t="s">
        <v>220</v>
      </c>
      <c r="L137" s="7" t="n">
        <f aca="false">I137*J137</f>
        <v>0.204</v>
      </c>
      <c r="M137" s="7" t="n">
        <v>40.8</v>
      </c>
      <c r="N137" s="7" t="n">
        <v>-9.3</v>
      </c>
      <c r="O137" s="6" t="s">
        <v>389</v>
      </c>
      <c r="P137" s="6" t="s">
        <v>239</v>
      </c>
      <c r="Q137" s="6" t="s">
        <v>584</v>
      </c>
    </row>
    <row r="138" customFormat="false" ht="22.35" hidden="false" customHeight="false" outlineLevel="0" collapsed="false">
      <c r="B138" s="6" t="n">
        <v>17</v>
      </c>
      <c r="F138" s="6" t="s">
        <v>585</v>
      </c>
      <c r="G138" s="6" t="s">
        <v>253</v>
      </c>
      <c r="H138" s="6" t="n">
        <v>3</v>
      </c>
      <c r="I138" s="7" t="n">
        <v>3.95</v>
      </c>
      <c r="J138" s="7" t="n">
        <v>0.8</v>
      </c>
      <c r="K138" s="16" t="s">
        <v>226</v>
      </c>
      <c r="L138" s="7" t="n">
        <f aca="false">I138*J138</f>
        <v>3.16</v>
      </c>
      <c r="M138" s="7" t="n">
        <v>38.2</v>
      </c>
      <c r="N138" s="7" t="n">
        <v>-8.45</v>
      </c>
      <c r="O138" s="6" t="s">
        <v>562</v>
      </c>
      <c r="P138" s="6" t="s">
        <v>586</v>
      </c>
      <c r="Q138" s="6" t="s">
        <v>587</v>
      </c>
      <c r="R138" s="16" t="s">
        <v>263</v>
      </c>
    </row>
    <row r="139" customFormat="false" ht="15" hidden="false" customHeight="false" outlineLevel="0" collapsed="false">
      <c r="B139" s="6" t="n">
        <v>17</v>
      </c>
      <c r="F139" s="6" t="s">
        <v>588</v>
      </c>
      <c r="G139" s="6" t="s">
        <v>225</v>
      </c>
      <c r="H139" s="6" t="n">
        <v>1</v>
      </c>
      <c r="I139" s="7" t="n">
        <v>2.3</v>
      </c>
      <c r="J139" s="7" t="n">
        <v>1.2</v>
      </c>
      <c r="K139" s="16" t="s">
        <v>226</v>
      </c>
      <c r="L139" s="7" t="n">
        <f aca="false">I139*J139</f>
        <v>2.76</v>
      </c>
      <c r="M139" s="7" t="n">
        <v>34.45</v>
      </c>
      <c r="N139" s="7" t="n">
        <v>-8.8</v>
      </c>
      <c r="O139" s="6" t="s">
        <v>476</v>
      </c>
      <c r="P139" s="6" t="s">
        <v>589</v>
      </c>
      <c r="Q139" s="6" t="s">
        <v>590</v>
      </c>
      <c r="R139" s="16" t="s">
        <v>281</v>
      </c>
    </row>
    <row r="140" customFormat="false" ht="15" hidden="false" customHeight="false" outlineLevel="0" collapsed="false">
      <c r="A140" s="9"/>
      <c r="B140" s="9" t="n">
        <v>18</v>
      </c>
      <c r="C140" s="9" t="s">
        <v>591</v>
      </c>
      <c r="D140" s="9" t="n">
        <v>1</v>
      </c>
      <c r="E140" s="9" t="n">
        <v>2</v>
      </c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 t="s">
        <v>592</v>
      </c>
      <c r="R140" s="9"/>
      <c r="S140" s="9"/>
      <c r="T140" s="9"/>
    </row>
    <row r="141" customFormat="false" ht="15" hidden="false" customHeight="false" outlineLevel="0" collapsed="false">
      <c r="B141" s="6" t="n">
        <v>18</v>
      </c>
      <c r="F141" s="6" t="s">
        <v>593</v>
      </c>
      <c r="G141" s="6" t="s">
        <v>213</v>
      </c>
      <c r="H141" s="6" t="n">
        <v>1</v>
      </c>
      <c r="I141" s="7" t="n">
        <v>2.15</v>
      </c>
      <c r="J141" s="7" t="n">
        <v>0.9</v>
      </c>
      <c r="K141" s="16" t="s">
        <v>226</v>
      </c>
      <c r="L141" s="7" t="n">
        <f aca="false">I141*J141</f>
        <v>1.935</v>
      </c>
      <c r="M141" s="7" t="n">
        <v>32.25</v>
      </c>
      <c r="N141" s="7" t="n">
        <v>-10.3</v>
      </c>
      <c r="O141" s="6" t="s">
        <v>594</v>
      </c>
      <c r="P141" s="6"/>
      <c r="Q141" s="6" t="s">
        <v>595</v>
      </c>
      <c r="R141" s="16" t="s">
        <v>281</v>
      </c>
    </row>
    <row r="142" customFormat="false" ht="15" hidden="false" customHeight="false" outlineLevel="0" collapsed="false">
      <c r="B142" s="6" t="n">
        <v>18</v>
      </c>
      <c r="F142" s="6" t="s">
        <v>596</v>
      </c>
      <c r="G142" s="6" t="s">
        <v>225</v>
      </c>
      <c r="H142" s="6" t="n">
        <v>1</v>
      </c>
      <c r="I142" s="7" t="n">
        <v>0.7</v>
      </c>
      <c r="J142" s="7" t="n">
        <v>0.7</v>
      </c>
      <c r="K142" s="16" t="s">
        <v>226</v>
      </c>
      <c r="L142" s="7" t="n">
        <f aca="false">I142*J142</f>
        <v>0.49</v>
      </c>
      <c r="M142" s="7" t="n">
        <v>32.3</v>
      </c>
      <c r="N142" s="7" t="n">
        <v>-8.6</v>
      </c>
      <c r="O142" s="6" t="s">
        <v>537</v>
      </c>
      <c r="P142" s="6"/>
      <c r="Q142" s="6" t="s">
        <v>597</v>
      </c>
      <c r="R142" s="16" t="s">
        <v>281</v>
      </c>
    </row>
    <row r="143" customFormat="false" ht="15" hidden="false" customHeight="false" outlineLevel="0" collapsed="false">
      <c r="B143" s="6" t="n">
        <v>18</v>
      </c>
      <c r="F143" s="6" t="s">
        <v>598</v>
      </c>
      <c r="G143" s="6" t="s">
        <v>225</v>
      </c>
      <c r="H143" s="6" t="n">
        <v>1</v>
      </c>
      <c r="I143" s="7" t="n">
        <v>0.7</v>
      </c>
      <c r="J143" s="7" t="n">
        <v>0.7</v>
      </c>
      <c r="K143" s="16" t="s">
        <v>226</v>
      </c>
      <c r="L143" s="7" t="n">
        <f aca="false">I143*J143</f>
        <v>0.49</v>
      </c>
      <c r="M143" s="7" t="n">
        <v>33</v>
      </c>
      <c r="N143" s="7" t="n">
        <v>-8.6</v>
      </c>
      <c r="O143" s="6" t="s">
        <v>537</v>
      </c>
      <c r="P143" s="6"/>
      <c r="Q143" s="6" t="s">
        <v>599</v>
      </c>
      <c r="R143" s="16" t="s">
        <v>281</v>
      </c>
    </row>
    <row r="144" customFormat="false" ht="15" hidden="false" customHeight="false" outlineLevel="0" collapsed="false">
      <c r="B144" s="6" t="n">
        <v>18</v>
      </c>
      <c r="F144" s="6" t="s">
        <v>600</v>
      </c>
      <c r="G144" s="6" t="s">
        <v>225</v>
      </c>
      <c r="H144" s="6" t="n">
        <v>1</v>
      </c>
      <c r="I144" s="7" t="n">
        <v>0.7</v>
      </c>
      <c r="J144" s="7" t="n">
        <v>0.7</v>
      </c>
      <c r="K144" s="16" t="s">
        <v>226</v>
      </c>
      <c r="L144" s="7" t="n">
        <f aca="false">I144*J144</f>
        <v>0.49</v>
      </c>
      <c r="M144" s="7" t="n">
        <v>33.7</v>
      </c>
      <c r="N144" s="7" t="n">
        <v>-8.6</v>
      </c>
      <c r="O144" s="6" t="s">
        <v>537</v>
      </c>
      <c r="P144" s="6"/>
      <c r="Q144" s="6" t="s">
        <v>601</v>
      </c>
      <c r="R144" s="16" t="s">
        <v>281</v>
      </c>
    </row>
    <row r="145" customFormat="false" ht="15" hidden="false" customHeight="false" outlineLevel="0" collapsed="false">
      <c r="B145" s="6" t="n">
        <v>18</v>
      </c>
      <c r="F145" s="6" t="s">
        <v>602</v>
      </c>
      <c r="G145" s="6" t="s">
        <v>237</v>
      </c>
      <c r="H145" s="6" t="n">
        <v>1</v>
      </c>
      <c r="I145" s="7" t="n">
        <v>0.6</v>
      </c>
      <c r="J145" s="7" t="n">
        <v>0.34</v>
      </c>
      <c r="K145" s="6" t="s">
        <v>220</v>
      </c>
      <c r="L145" s="7" t="n">
        <f aca="false">I145*J145</f>
        <v>0.204</v>
      </c>
      <c r="M145" s="7" t="n">
        <v>33</v>
      </c>
      <c r="N145" s="7" t="n">
        <v>-9.3</v>
      </c>
      <c r="O145" s="6" t="s">
        <v>537</v>
      </c>
      <c r="P145" s="6" t="s">
        <v>239</v>
      </c>
      <c r="Q145" s="6" t="s">
        <v>603</v>
      </c>
    </row>
    <row r="146" customFormat="false" ht="15" hidden="false" customHeight="false" outlineLevel="0" collapsed="false">
      <c r="A146" s="9"/>
      <c r="B146" s="9" t="n">
        <v>19</v>
      </c>
      <c r="C146" s="9" t="s">
        <v>604</v>
      </c>
      <c r="D146" s="9" t="n">
        <v>1</v>
      </c>
      <c r="E146" s="9" t="n">
        <v>1</v>
      </c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 t="s">
        <v>605</v>
      </c>
      <c r="R146" s="9"/>
      <c r="S146" s="9"/>
      <c r="T146" s="9"/>
    </row>
    <row r="147" customFormat="false" ht="15" hidden="false" customHeight="false" outlineLevel="0" collapsed="false">
      <c r="B147" s="6" t="n">
        <v>19</v>
      </c>
      <c r="F147" s="6" t="s">
        <v>606</v>
      </c>
      <c r="G147" s="6" t="s">
        <v>213</v>
      </c>
      <c r="H147" s="6" t="n">
        <v>1</v>
      </c>
      <c r="I147" s="7" t="n">
        <v>1.8</v>
      </c>
      <c r="J147" s="7" t="n">
        <v>0.8</v>
      </c>
      <c r="K147" s="16" t="s">
        <v>226</v>
      </c>
      <c r="L147" s="7" t="n">
        <f aca="false">I147*J147</f>
        <v>1.44</v>
      </c>
      <c r="M147" s="7" t="n">
        <v>36.6</v>
      </c>
      <c r="N147" s="7" t="n">
        <v>-11.55</v>
      </c>
      <c r="O147" s="6" t="s">
        <v>386</v>
      </c>
      <c r="P147" s="6"/>
      <c r="Q147" s="6" t="s">
        <v>607</v>
      </c>
      <c r="R147" s="16" t="s">
        <v>281</v>
      </c>
    </row>
    <row r="148" customFormat="false" ht="64.15" hidden="false" customHeight="false" outlineLevel="0" collapsed="false">
      <c r="A148" s="12" t="s">
        <v>66</v>
      </c>
      <c r="B148" s="12"/>
      <c r="C148" s="12" t="s">
        <v>67</v>
      </c>
      <c r="D148" s="12"/>
      <c r="E148" s="12"/>
      <c r="F148" s="12" t="s">
        <v>207</v>
      </c>
      <c r="G148" s="12"/>
      <c r="H148" s="12"/>
      <c r="I148" s="13" t="n">
        <v>10.3</v>
      </c>
      <c r="J148" s="13" t="n">
        <v>8.85</v>
      </c>
      <c r="K148" s="12"/>
      <c r="L148" s="13" t="n">
        <f aca="false">I148*J148</f>
        <v>91.155</v>
      </c>
      <c r="M148" s="13" t="n">
        <v>26.1</v>
      </c>
      <c r="N148" s="13" t="n">
        <v>-21.9</v>
      </c>
      <c r="O148" s="12" t="s">
        <v>608</v>
      </c>
      <c r="P148" s="12"/>
      <c r="Q148" s="12" t="s">
        <v>609</v>
      </c>
      <c r="R148" s="12"/>
      <c r="S148" s="13" t="n">
        <f aca="false">SUM(L149:L159)</f>
        <v>67.373</v>
      </c>
      <c r="T148" s="14" t="n">
        <f aca="false">S148/L148</f>
        <v>0.739103724425429</v>
      </c>
    </row>
    <row r="149" customFormat="false" ht="15" hidden="false" customHeight="false" outlineLevel="0" collapsed="false">
      <c r="A149" s="9"/>
      <c r="B149" s="9" t="n">
        <v>20</v>
      </c>
      <c r="C149" s="9" t="s">
        <v>610</v>
      </c>
      <c r="D149" s="9" t="n">
        <v>1</v>
      </c>
      <c r="E149" s="9" t="n">
        <v>2</v>
      </c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 t="s">
        <v>611</v>
      </c>
      <c r="R149" s="9"/>
      <c r="S149" s="9"/>
      <c r="T149" s="9"/>
    </row>
    <row r="150" customFormat="false" ht="15" hidden="false" customHeight="false" outlineLevel="0" collapsed="false">
      <c r="B150" s="6" t="n">
        <v>20</v>
      </c>
      <c r="F150" s="6" t="s">
        <v>612</v>
      </c>
      <c r="G150" s="6" t="s">
        <v>219</v>
      </c>
      <c r="H150" s="6" t="n">
        <v>1</v>
      </c>
      <c r="I150" s="7" t="n">
        <v>2.4</v>
      </c>
      <c r="J150" s="7" t="n">
        <v>2</v>
      </c>
      <c r="K150" s="6" t="s">
        <v>220</v>
      </c>
      <c r="L150" s="7" t="n">
        <f aca="false">I150*J150</f>
        <v>4.8</v>
      </c>
      <c r="M150" s="7" t="n">
        <v>26.25</v>
      </c>
      <c r="N150" s="7" t="n">
        <v>-15.15</v>
      </c>
      <c r="O150" s="6" t="s">
        <v>537</v>
      </c>
      <c r="P150" s="6"/>
      <c r="Q150" s="6" t="s">
        <v>613</v>
      </c>
    </row>
    <row r="151" customFormat="false" ht="15" hidden="false" customHeight="false" outlineLevel="0" collapsed="false">
      <c r="B151" s="6" t="n">
        <v>20</v>
      </c>
      <c r="F151" s="6" t="s">
        <v>614</v>
      </c>
      <c r="G151" s="6" t="s">
        <v>213</v>
      </c>
      <c r="H151" s="6" t="n">
        <v>1</v>
      </c>
      <c r="I151" s="7" t="n">
        <v>7.4</v>
      </c>
      <c r="J151" s="7" t="n">
        <v>2</v>
      </c>
      <c r="K151" s="16" t="s">
        <v>226</v>
      </c>
      <c r="L151" s="7" t="n">
        <f aca="false">I151*J151</f>
        <v>14.8</v>
      </c>
      <c r="M151" s="7" t="n">
        <v>28.8</v>
      </c>
      <c r="N151" s="7" t="n">
        <v>-15.15</v>
      </c>
      <c r="O151" s="6" t="s">
        <v>476</v>
      </c>
      <c r="P151" s="6" t="s">
        <v>615</v>
      </c>
      <c r="Q151" s="6" t="s">
        <v>616</v>
      </c>
      <c r="R151" s="16" t="s">
        <v>281</v>
      </c>
    </row>
    <row r="152" customFormat="false" ht="15" hidden="false" customHeight="false" outlineLevel="0" collapsed="false">
      <c r="B152" s="6" t="n">
        <v>20</v>
      </c>
      <c r="F152" s="6" t="s">
        <v>617</v>
      </c>
      <c r="G152" s="6" t="s">
        <v>213</v>
      </c>
      <c r="H152" s="6" t="n">
        <v>1</v>
      </c>
      <c r="I152" s="7" t="n">
        <v>7.4</v>
      </c>
      <c r="J152" s="7" t="n">
        <v>2</v>
      </c>
      <c r="K152" s="16" t="s">
        <v>226</v>
      </c>
      <c r="L152" s="7" t="n">
        <f aca="false">I152*J152</f>
        <v>14.8</v>
      </c>
      <c r="M152" s="7" t="n">
        <v>28.8</v>
      </c>
      <c r="N152" s="7" t="n">
        <v>-21.35</v>
      </c>
      <c r="O152" s="6" t="s">
        <v>386</v>
      </c>
      <c r="P152" s="6" t="s">
        <v>618</v>
      </c>
      <c r="Q152" s="6" t="s">
        <v>619</v>
      </c>
      <c r="R152" s="16" t="s">
        <v>281</v>
      </c>
    </row>
    <row r="153" customFormat="false" ht="15" hidden="false" customHeight="false" outlineLevel="0" collapsed="false">
      <c r="B153" s="6" t="n">
        <v>20</v>
      </c>
      <c r="F153" s="6" t="s">
        <v>620</v>
      </c>
      <c r="G153" s="6" t="s">
        <v>213</v>
      </c>
      <c r="H153" s="6" t="n">
        <v>1</v>
      </c>
      <c r="I153" s="7" t="n">
        <v>7.2</v>
      </c>
      <c r="J153" s="7" t="n">
        <v>3.5</v>
      </c>
      <c r="K153" s="16" t="s">
        <v>226</v>
      </c>
      <c r="L153" s="7" t="n">
        <f aca="false">I153*J153</f>
        <v>25.2</v>
      </c>
      <c r="M153" s="7" t="n">
        <v>28</v>
      </c>
      <c r="N153" s="7" t="n">
        <v>-19.2</v>
      </c>
      <c r="O153" s="6" t="s">
        <v>621</v>
      </c>
      <c r="P153" s="6" t="s">
        <v>622</v>
      </c>
      <c r="Q153" s="6" t="s">
        <v>623</v>
      </c>
      <c r="R153" s="16" t="s">
        <v>281</v>
      </c>
    </row>
    <row r="154" customFormat="false" ht="15" hidden="false" customHeight="false" outlineLevel="0" collapsed="false">
      <c r="B154" s="6" t="n">
        <v>20</v>
      </c>
      <c r="F154" s="6" t="s">
        <v>624</v>
      </c>
      <c r="G154" s="6" t="s">
        <v>219</v>
      </c>
      <c r="H154" s="6" t="n">
        <v>1</v>
      </c>
      <c r="I154" s="7" t="n">
        <v>0.85</v>
      </c>
      <c r="J154" s="7" t="n">
        <v>4.2</v>
      </c>
      <c r="K154" s="6" t="s">
        <v>220</v>
      </c>
      <c r="L154" s="7" t="n">
        <f aca="false">I154*J154</f>
        <v>3.57</v>
      </c>
      <c r="M154" s="7" t="n">
        <v>27.15</v>
      </c>
      <c r="N154" s="7" t="n">
        <v>-20.5</v>
      </c>
      <c r="O154" s="6" t="s">
        <v>594</v>
      </c>
      <c r="P154" s="6"/>
      <c r="Q154" s="6" t="s">
        <v>625</v>
      </c>
    </row>
    <row r="155" customFormat="false" ht="15" hidden="false" customHeight="false" outlineLevel="0" collapsed="false">
      <c r="B155" s="6" t="n">
        <v>20</v>
      </c>
      <c r="F155" s="6" t="s">
        <v>626</v>
      </c>
      <c r="G155" s="6" t="s">
        <v>219</v>
      </c>
      <c r="H155" s="6" t="n">
        <v>1</v>
      </c>
      <c r="I155" s="7" t="n">
        <v>1.7</v>
      </c>
      <c r="J155" s="7" t="n">
        <v>0.85</v>
      </c>
      <c r="K155" s="6" t="s">
        <v>220</v>
      </c>
      <c r="L155" s="7" t="n">
        <f aca="false">I155*J155</f>
        <v>1.445</v>
      </c>
      <c r="M155" s="7" t="n">
        <v>26.25</v>
      </c>
      <c r="N155" s="7" t="n">
        <v>-21.45</v>
      </c>
      <c r="O155" s="6" t="s">
        <v>505</v>
      </c>
      <c r="P155" s="6"/>
      <c r="Q155" s="6" t="s">
        <v>627</v>
      </c>
    </row>
    <row r="156" customFormat="false" ht="15" hidden="false" customHeight="false" outlineLevel="0" collapsed="false">
      <c r="B156" s="6" t="n">
        <v>20</v>
      </c>
      <c r="F156" s="6" t="s">
        <v>628</v>
      </c>
      <c r="G156" s="6" t="s">
        <v>237</v>
      </c>
      <c r="H156" s="6" t="n">
        <v>1</v>
      </c>
      <c r="I156" s="7" t="n">
        <v>0.6</v>
      </c>
      <c r="J156" s="7" t="n">
        <v>0.34</v>
      </c>
      <c r="K156" s="6" t="s">
        <v>220</v>
      </c>
      <c r="L156" s="7" t="n">
        <f aca="false">I156*J156</f>
        <v>0.204</v>
      </c>
      <c r="M156" s="7" t="n">
        <v>27.7</v>
      </c>
      <c r="N156" s="7" t="n">
        <v>-14.05</v>
      </c>
      <c r="O156" s="6" t="s">
        <v>537</v>
      </c>
      <c r="P156" s="6" t="s">
        <v>239</v>
      </c>
      <c r="Q156" s="6" t="s">
        <v>629</v>
      </c>
    </row>
    <row r="157" customFormat="false" ht="15" hidden="false" customHeight="false" outlineLevel="0" collapsed="false">
      <c r="B157" s="6" t="n">
        <v>20</v>
      </c>
      <c r="F157" s="6" t="s">
        <v>630</v>
      </c>
      <c r="G157" s="6" t="s">
        <v>237</v>
      </c>
      <c r="H157" s="6" t="n">
        <v>1</v>
      </c>
      <c r="I157" s="7" t="n">
        <v>0.6</v>
      </c>
      <c r="J157" s="7" t="n">
        <v>0.34</v>
      </c>
      <c r="K157" s="6" t="s">
        <v>220</v>
      </c>
      <c r="L157" s="7" t="n">
        <f aca="false">I157*J157</f>
        <v>0.204</v>
      </c>
      <c r="M157" s="7" t="n">
        <v>26.25</v>
      </c>
      <c r="N157" s="7" t="n">
        <v>-21.42</v>
      </c>
      <c r="O157" s="6" t="s">
        <v>505</v>
      </c>
      <c r="P157" s="6" t="s">
        <v>239</v>
      </c>
      <c r="Q157" s="6" t="s">
        <v>631</v>
      </c>
    </row>
    <row r="158" customFormat="false" ht="22.35" hidden="false" customHeight="false" outlineLevel="0" collapsed="false">
      <c r="B158" s="6" t="n">
        <v>20</v>
      </c>
      <c r="F158" s="6" t="s">
        <v>632</v>
      </c>
      <c r="G158" s="6" t="s">
        <v>253</v>
      </c>
      <c r="H158" s="6" t="n">
        <v>2</v>
      </c>
      <c r="I158" s="7" t="n">
        <v>2.4</v>
      </c>
      <c r="J158" s="7" t="n">
        <v>0.6</v>
      </c>
      <c r="K158" s="7" t="n">
        <v>2</v>
      </c>
      <c r="L158" s="7" t="n">
        <f aca="false">I158*J158</f>
        <v>1.44</v>
      </c>
      <c r="M158" s="7" t="n">
        <v>26.25</v>
      </c>
      <c r="N158" s="7" t="n">
        <v>-13.65</v>
      </c>
      <c r="O158" s="6" t="s">
        <v>633</v>
      </c>
      <c r="P158" s="6" t="s">
        <v>426</v>
      </c>
      <c r="Q158" s="6" t="s">
        <v>634</v>
      </c>
    </row>
    <row r="159" customFormat="false" ht="22.35" hidden="false" customHeight="false" outlineLevel="0" collapsed="false">
      <c r="B159" s="6" t="n">
        <v>20</v>
      </c>
      <c r="F159" s="6" t="s">
        <v>635</v>
      </c>
      <c r="G159" s="6" t="s">
        <v>259</v>
      </c>
      <c r="H159" s="6" t="n">
        <v>2</v>
      </c>
      <c r="I159" s="7" t="n">
        <v>0.7</v>
      </c>
      <c r="J159" s="7" t="n">
        <v>1.3</v>
      </c>
      <c r="K159" s="16" t="s">
        <v>226</v>
      </c>
      <c r="L159" s="7" t="n">
        <f aca="false">I159*J159</f>
        <v>0.91</v>
      </c>
      <c r="M159" s="7" t="n">
        <v>26.3</v>
      </c>
      <c r="N159" s="7" t="n">
        <v>-20.45</v>
      </c>
      <c r="O159" s="6" t="s">
        <v>594</v>
      </c>
      <c r="P159" s="6" t="s">
        <v>406</v>
      </c>
      <c r="Q159" s="6" t="s">
        <v>636</v>
      </c>
      <c r="R159" s="16" t="s">
        <v>263</v>
      </c>
    </row>
    <row r="160" customFormat="false" ht="32.8" hidden="false" customHeight="false" outlineLevel="0" collapsed="false">
      <c r="A160" s="12" t="s">
        <v>68</v>
      </c>
      <c r="B160" s="12"/>
      <c r="C160" s="12" t="s">
        <v>69</v>
      </c>
      <c r="D160" s="12"/>
      <c r="E160" s="12"/>
      <c r="F160" s="12" t="s">
        <v>207</v>
      </c>
      <c r="G160" s="12"/>
      <c r="H160" s="12"/>
      <c r="I160" s="13" t="n">
        <v>4.9</v>
      </c>
      <c r="J160" s="13" t="n">
        <v>4.4</v>
      </c>
      <c r="K160" s="12"/>
      <c r="L160" s="13" t="n">
        <f aca="false">I160*J160</f>
        <v>21.56</v>
      </c>
      <c r="M160" s="13" t="n">
        <v>20.2</v>
      </c>
      <c r="N160" s="13" t="n">
        <v>-21.9</v>
      </c>
      <c r="O160" s="12" t="s">
        <v>637</v>
      </c>
      <c r="P160" s="12"/>
      <c r="Q160" s="12" t="s">
        <v>638</v>
      </c>
      <c r="R160" s="12"/>
      <c r="S160" s="13" t="n">
        <f aca="false">SUM(L161:L167)</f>
        <v>7.7215</v>
      </c>
      <c r="T160" s="14" t="n">
        <f aca="false">S160/L160</f>
        <v>0.358140074211503</v>
      </c>
    </row>
    <row r="161" customFormat="false" ht="15" hidden="false" customHeight="false" outlineLevel="0" collapsed="false">
      <c r="A161" s="9"/>
      <c r="B161" s="9" t="n">
        <v>21</v>
      </c>
      <c r="C161" s="9" t="s">
        <v>639</v>
      </c>
      <c r="D161" s="9" t="n">
        <v>1</v>
      </c>
      <c r="E161" s="9" t="n">
        <v>1</v>
      </c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 t="s">
        <v>640</v>
      </c>
      <c r="R161" s="9"/>
      <c r="S161" s="9"/>
      <c r="T161" s="9"/>
    </row>
    <row r="162" customFormat="false" ht="15" hidden="false" customHeight="false" outlineLevel="0" collapsed="false">
      <c r="B162" s="6" t="n">
        <v>21</v>
      </c>
      <c r="F162" s="6" t="s">
        <v>641</v>
      </c>
      <c r="G162" s="6" t="s">
        <v>213</v>
      </c>
      <c r="H162" s="6" t="n">
        <v>1</v>
      </c>
      <c r="I162" s="7" t="n">
        <v>1.9</v>
      </c>
      <c r="J162" s="7" t="n">
        <v>1.5</v>
      </c>
      <c r="K162" s="16" t="s">
        <v>226</v>
      </c>
      <c r="L162" s="7" t="n">
        <f aca="false">I162*J162</f>
        <v>2.85</v>
      </c>
      <c r="M162" s="7" t="n">
        <v>20.3</v>
      </c>
      <c r="N162" s="7" t="n">
        <v>-21.5</v>
      </c>
      <c r="O162" s="6" t="s">
        <v>505</v>
      </c>
      <c r="P162" s="6" t="s">
        <v>642</v>
      </c>
      <c r="Q162" s="6" t="s">
        <v>643</v>
      </c>
      <c r="R162" s="16" t="s">
        <v>644</v>
      </c>
    </row>
    <row r="163" customFormat="false" ht="15" hidden="false" customHeight="false" outlineLevel="0" collapsed="false">
      <c r="B163" s="6" t="n">
        <v>21</v>
      </c>
      <c r="F163" s="6" t="s">
        <v>645</v>
      </c>
      <c r="G163" s="6" t="s">
        <v>213</v>
      </c>
      <c r="H163" s="6" t="n">
        <v>1</v>
      </c>
      <c r="I163" s="7" t="n">
        <v>1.3</v>
      </c>
      <c r="J163" s="7" t="n">
        <v>1</v>
      </c>
      <c r="K163" s="16" t="s">
        <v>226</v>
      </c>
      <c r="L163" s="7" t="n">
        <f aca="false">I163*J163</f>
        <v>1.3</v>
      </c>
      <c r="M163" s="7" t="n">
        <v>23.1</v>
      </c>
      <c r="N163" s="7" t="n">
        <v>-20.4</v>
      </c>
      <c r="O163" s="6" t="s">
        <v>646</v>
      </c>
      <c r="P163" s="6"/>
      <c r="Q163" s="6" t="s">
        <v>647</v>
      </c>
      <c r="R163" s="16" t="s">
        <v>281</v>
      </c>
    </row>
    <row r="164" customFormat="false" ht="15" hidden="false" customHeight="false" outlineLevel="0" collapsed="false">
      <c r="B164" s="6" t="n">
        <v>21</v>
      </c>
      <c r="F164" s="6" t="s">
        <v>648</v>
      </c>
      <c r="G164" s="6" t="s">
        <v>225</v>
      </c>
      <c r="H164" s="6" t="n">
        <v>1</v>
      </c>
      <c r="I164" s="7" t="n">
        <v>0.75</v>
      </c>
      <c r="J164" s="7" t="n">
        <v>0.65</v>
      </c>
      <c r="K164" s="16" t="s">
        <v>226</v>
      </c>
      <c r="L164" s="7" t="n">
        <f aca="false">I164*J164</f>
        <v>0.4875</v>
      </c>
      <c r="M164" s="7" t="n">
        <v>20.4</v>
      </c>
      <c r="N164" s="7" t="n">
        <v>-19</v>
      </c>
      <c r="O164" s="6" t="s">
        <v>476</v>
      </c>
      <c r="P164" s="6"/>
      <c r="Q164" s="6" t="s">
        <v>649</v>
      </c>
      <c r="R164" s="16" t="s">
        <v>281</v>
      </c>
    </row>
    <row r="165" customFormat="false" ht="15" hidden="false" customHeight="false" outlineLevel="0" collapsed="false">
      <c r="B165" s="6" t="n">
        <v>21</v>
      </c>
      <c r="F165" s="6" t="s">
        <v>303</v>
      </c>
      <c r="G165" s="6" t="s">
        <v>237</v>
      </c>
      <c r="H165" s="6" t="n">
        <v>1</v>
      </c>
      <c r="I165" s="7" t="n">
        <v>0.6</v>
      </c>
      <c r="J165" s="7" t="n">
        <v>0.34</v>
      </c>
      <c r="K165" s="6" t="s">
        <v>220</v>
      </c>
      <c r="L165" s="7" t="n">
        <f aca="false">I165*J165</f>
        <v>0.204</v>
      </c>
      <c r="M165" s="7" t="n">
        <v>21.4</v>
      </c>
      <c r="N165" s="7" t="n">
        <v>-19</v>
      </c>
      <c r="O165" s="6" t="s">
        <v>476</v>
      </c>
      <c r="P165" s="6" t="s">
        <v>239</v>
      </c>
      <c r="Q165" s="6" t="s">
        <v>650</v>
      </c>
    </row>
    <row r="166" customFormat="false" ht="22.35" hidden="false" customHeight="false" outlineLevel="0" collapsed="false">
      <c r="B166" s="6" t="n">
        <v>21</v>
      </c>
      <c r="F166" s="6" t="s">
        <v>651</v>
      </c>
      <c r="G166" s="6" t="s">
        <v>253</v>
      </c>
      <c r="H166" s="6" t="n">
        <v>3</v>
      </c>
      <c r="I166" s="7" t="n">
        <v>0.6</v>
      </c>
      <c r="J166" s="7" t="n">
        <v>3.6</v>
      </c>
      <c r="K166" s="7" t="n">
        <v>2</v>
      </c>
      <c r="L166" s="7" t="n">
        <f aca="false">I166*J166</f>
        <v>2.16</v>
      </c>
      <c r="M166" s="7" t="n">
        <v>24.5</v>
      </c>
      <c r="N166" s="7" t="n">
        <v>-21.3</v>
      </c>
      <c r="O166" s="6" t="s">
        <v>369</v>
      </c>
      <c r="P166" s="6" t="s">
        <v>426</v>
      </c>
      <c r="Q166" s="6" t="s">
        <v>652</v>
      </c>
    </row>
    <row r="167" customFormat="false" ht="22.35" hidden="false" customHeight="false" outlineLevel="0" collapsed="false">
      <c r="B167" s="6" t="n">
        <v>21</v>
      </c>
      <c r="F167" s="6" t="s">
        <v>653</v>
      </c>
      <c r="G167" s="6" t="s">
        <v>253</v>
      </c>
      <c r="H167" s="6" t="n">
        <v>1</v>
      </c>
      <c r="I167" s="7" t="n">
        <v>1.2</v>
      </c>
      <c r="J167" s="7" t="n">
        <v>0.6</v>
      </c>
      <c r="K167" s="7" t="n">
        <v>2</v>
      </c>
      <c r="L167" s="7" t="n">
        <f aca="false">I167*J167</f>
        <v>0.72</v>
      </c>
      <c r="M167" s="7" t="n">
        <v>22.9</v>
      </c>
      <c r="N167" s="7" t="n">
        <v>-21.9</v>
      </c>
      <c r="O167" s="6" t="s">
        <v>334</v>
      </c>
      <c r="P167" s="6" t="s">
        <v>426</v>
      </c>
      <c r="Q167" s="6" t="s">
        <v>654</v>
      </c>
    </row>
    <row r="168" customFormat="false" ht="43.25" hidden="false" customHeight="false" outlineLevel="0" collapsed="false">
      <c r="A168" s="12" t="s">
        <v>70</v>
      </c>
      <c r="B168" s="12"/>
      <c r="C168" s="12" t="s">
        <v>71</v>
      </c>
      <c r="D168" s="12"/>
      <c r="E168" s="12"/>
      <c r="F168" s="12" t="s">
        <v>207</v>
      </c>
      <c r="G168" s="12"/>
      <c r="H168" s="12"/>
      <c r="I168" s="13" t="n">
        <v>3.6</v>
      </c>
      <c r="J168" s="13" t="n">
        <v>4.4</v>
      </c>
      <c r="K168" s="12"/>
      <c r="L168" s="13" t="n">
        <f aca="false">I168*J168</f>
        <v>15.84</v>
      </c>
      <c r="M168" s="13" t="n">
        <v>16.6</v>
      </c>
      <c r="N168" s="13" t="n">
        <v>-21.9</v>
      </c>
      <c r="O168" s="12" t="s">
        <v>655</v>
      </c>
      <c r="P168" s="12"/>
      <c r="Q168" s="12" t="s">
        <v>656</v>
      </c>
      <c r="R168" s="12"/>
      <c r="S168" s="13" t="n">
        <f aca="false">SUM(L169:L175)</f>
        <v>6.0115</v>
      </c>
      <c r="T168" s="14" t="n">
        <f aca="false">S168/L168</f>
        <v>0.379513888888889</v>
      </c>
    </row>
    <row r="169" customFormat="false" ht="15" hidden="false" customHeight="false" outlineLevel="0" collapsed="false">
      <c r="A169" s="9"/>
      <c r="B169" s="9" t="n">
        <v>22</v>
      </c>
      <c r="C169" s="9" t="s">
        <v>657</v>
      </c>
      <c r="D169" s="9" t="n">
        <v>1</v>
      </c>
      <c r="E169" s="9" t="n">
        <v>2</v>
      </c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 t="s">
        <v>658</v>
      </c>
      <c r="R169" s="9"/>
      <c r="S169" s="9"/>
      <c r="T169" s="9"/>
    </row>
    <row r="170" customFormat="false" ht="15" hidden="false" customHeight="false" outlineLevel="0" collapsed="false">
      <c r="B170" s="6" t="n">
        <v>22</v>
      </c>
      <c r="F170" s="6" t="s">
        <v>659</v>
      </c>
      <c r="G170" s="6" t="s">
        <v>213</v>
      </c>
      <c r="H170" s="6" t="n">
        <v>1</v>
      </c>
      <c r="I170" s="7" t="n">
        <v>1.7</v>
      </c>
      <c r="J170" s="7" t="n">
        <v>0.8</v>
      </c>
      <c r="K170" s="16" t="s">
        <v>226</v>
      </c>
      <c r="L170" s="7" t="n">
        <f aca="false">I170*J170</f>
        <v>1.36</v>
      </c>
      <c r="M170" s="7" t="n">
        <v>17.35</v>
      </c>
      <c r="N170" s="7" t="n">
        <v>-20.5</v>
      </c>
      <c r="O170" s="6" t="s">
        <v>621</v>
      </c>
      <c r="P170" s="6"/>
      <c r="Q170" s="6" t="s">
        <v>660</v>
      </c>
      <c r="R170" s="16" t="s">
        <v>516</v>
      </c>
    </row>
    <row r="171" customFormat="false" ht="15" hidden="false" customHeight="false" outlineLevel="0" collapsed="false">
      <c r="B171" s="6" t="n">
        <v>22</v>
      </c>
      <c r="F171" s="6" t="s">
        <v>661</v>
      </c>
      <c r="G171" s="6" t="s">
        <v>225</v>
      </c>
      <c r="H171" s="6" t="n">
        <v>1</v>
      </c>
      <c r="I171" s="7" t="n">
        <v>0.45</v>
      </c>
      <c r="J171" s="7" t="n">
        <v>1.9</v>
      </c>
      <c r="K171" s="16" t="s">
        <v>226</v>
      </c>
      <c r="L171" s="7" t="n">
        <f aca="false">I171*J171</f>
        <v>0.855</v>
      </c>
      <c r="M171" s="7" t="n">
        <v>16.7</v>
      </c>
      <c r="N171" s="7" t="n">
        <v>-20.4</v>
      </c>
      <c r="O171" s="6" t="s">
        <v>594</v>
      </c>
      <c r="P171" s="6"/>
      <c r="Q171" s="6" t="s">
        <v>662</v>
      </c>
      <c r="R171" s="16" t="s">
        <v>281</v>
      </c>
    </row>
    <row r="172" customFormat="false" ht="15" hidden="false" customHeight="false" outlineLevel="0" collapsed="false">
      <c r="B172" s="6" t="n">
        <v>22</v>
      </c>
      <c r="F172" s="6" t="s">
        <v>663</v>
      </c>
      <c r="G172" s="6" t="s">
        <v>225</v>
      </c>
      <c r="H172" s="6" t="n">
        <v>1</v>
      </c>
      <c r="I172" s="7" t="n">
        <v>0.55</v>
      </c>
      <c r="J172" s="7" t="n">
        <v>0.95</v>
      </c>
      <c r="K172" s="16" t="s">
        <v>226</v>
      </c>
      <c r="L172" s="7" t="n">
        <f aca="false">I172*J172</f>
        <v>0.5225</v>
      </c>
      <c r="M172" s="7" t="n">
        <v>18.2</v>
      </c>
      <c r="N172" s="7" t="n">
        <v>-21.45</v>
      </c>
      <c r="O172" s="6" t="s">
        <v>386</v>
      </c>
      <c r="P172" s="6"/>
      <c r="Q172" s="6" t="s">
        <v>664</v>
      </c>
      <c r="R172" s="16" t="s">
        <v>281</v>
      </c>
    </row>
    <row r="173" customFormat="false" ht="15" hidden="false" customHeight="false" outlineLevel="0" collapsed="false">
      <c r="B173" s="6" t="n">
        <v>22</v>
      </c>
      <c r="F173" s="6" t="s">
        <v>303</v>
      </c>
      <c r="G173" s="6" t="s">
        <v>237</v>
      </c>
      <c r="H173" s="6" t="n">
        <v>1</v>
      </c>
      <c r="I173" s="7" t="n">
        <v>0.6</v>
      </c>
      <c r="J173" s="7" t="n">
        <v>0.34</v>
      </c>
      <c r="K173" s="6" t="s">
        <v>220</v>
      </c>
      <c r="L173" s="7" t="n">
        <f aca="false">I173*J173</f>
        <v>0.204</v>
      </c>
      <c r="M173" s="7" t="n">
        <v>17.9</v>
      </c>
      <c r="N173" s="7" t="n">
        <v>-19.55</v>
      </c>
      <c r="O173" s="6" t="s">
        <v>665</v>
      </c>
      <c r="P173" s="6" t="s">
        <v>239</v>
      </c>
      <c r="Q173" s="6" t="s">
        <v>666</v>
      </c>
    </row>
    <row r="174" customFormat="false" ht="22.35" hidden="false" customHeight="false" outlineLevel="0" collapsed="false">
      <c r="B174" s="6" t="n">
        <v>22</v>
      </c>
      <c r="F174" s="6" t="s">
        <v>667</v>
      </c>
      <c r="G174" s="6" t="s">
        <v>253</v>
      </c>
      <c r="H174" s="6" t="n">
        <v>3</v>
      </c>
      <c r="I174" s="7" t="n">
        <v>0.6</v>
      </c>
      <c r="J174" s="7" t="n">
        <v>3.6</v>
      </c>
      <c r="K174" s="7" t="n">
        <v>2</v>
      </c>
      <c r="L174" s="7" t="n">
        <f aca="false">I174*J174</f>
        <v>2.16</v>
      </c>
      <c r="M174" s="7" t="n">
        <v>19.6</v>
      </c>
      <c r="N174" s="7" t="n">
        <v>-21.75</v>
      </c>
      <c r="O174" s="6" t="s">
        <v>668</v>
      </c>
      <c r="P174" s="6" t="s">
        <v>426</v>
      </c>
      <c r="Q174" s="6" t="s">
        <v>669</v>
      </c>
    </row>
    <row r="175" customFormat="false" ht="22.35" hidden="false" customHeight="false" outlineLevel="0" collapsed="false">
      <c r="B175" s="6" t="n">
        <v>22</v>
      </c>
      <c r="F175" s="6" t="s">
        <v>670</v>
      </c>
      <c r="G175" s="6" t="s">
        <v>259</v>
      </c>
      <c r="H175" s="6" t="n">
        <v>1</v>
      </c>
      <c r="I175" s="7" t="n">
        <v>1.3</v>
      </c>
      <c r="J175" s="7" t="n">
        <v>0.7</v>
      </c>
      <c r="K175" s="16" t="s">
        <v>226</v>
      </c>
      <c r="L175" s="7" t="n">
        <f aca="false">I175*J175</f>
        <v>0.91</v>
      </c>
      <c r="M175" s="7" t="n">
        <v>16.7</v>
      </c>
      <c r="N175" s="7" t="n">
        <v>-21.45</v>
      </c>
      <c r="O175" s="6" t="s">
        <v>505</v>
      </c>
      <c r="P175" s="6" t="s">
        <v>406</v>
      </c>
      <c r="Q175" s="6" t="s">
        <v>671</v>
      </c>
      <c r="R175" s="16" t="s">
        <v>263</v>
      </c>
    </row>
    <row r="176" customFormat="false" ht="22.35" hidden="false" customHeight="false" outlineLevel="0" collapsed="false">
      <c r="A176" s="12" t="s">
        <v>72</v>
      </c>
      <c r="B176" s="12"/>
      <c r="C176" s="12" t="s">
        <v>73</v>
      </c>
      <c r="D176" s="12"/>
      <c r="E176" s="12"/>
      <c r="F176" s="12" t="s">
        <v>207</v>
      </c>
      <c r="G176" s="12"/>
      <c r="H176" s="12"/>
      <c r="I176" s="13" t="n">
        <v>4.2</v>
      </c>
      <c r="J176" s="13" t="n">
        <v>3</v>
      </c>
      <c r="K176" s="12"/>
      <c r="L176" s="13" t="n">
        <f aca="false">I176*J176</f>
        <v>12.6</v>
      </c>
      <c r="M176" s="13" t="n">
        <v>16.6</v>
      </c>
      <c r="N176" s="13" t="n">
        <v>-26.4</v>
      </c>
      <c r="O176" s="12" t="s">
        <v>672</v>
      </c>
      <c r="P176" s="12"/>
      <c r="Q176" s="12" t="s">
        <v>673</v>
      </c>
      <c r="R176" s="12"/>
      <c r="S176" s="13" t="n">
        <f aca="false">SUM(L177:L181)</f>
        <v>4.194</v>
      </c>
      <c r="T176" s="14" t="n">
        <f aca="false">S176/L176</f>
        <v>0.332857142857143</v>
      </c>
    </row>
    <row r="177" customFormat="false" ht="15" hidden="false" customHeight="false" outlineLevel="0" collapsed="false">
      <c r="A177" s="9"/>
      <c r="B177" s="9" t="n">
        <v>23</v>
      </c>
      <c r="C177" s="9" t="s">
        <v>674</v>
      </c>
      <c r="D177" s="9" t="n">
        <v>1</v>
      </c>
      <c r="E177" s="9" t="n">
        <v>1</v>
      </c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 t="s">
        <v>675</v>
      </c>
      <c r="R177" s="9"/>
      <c r="S177" s="9"/>
      <c r="T177" s="9"/>
    </row>
    <row r="178" customFormat="false" ht="15" hidden="false" customHeight="false" outlineLevel="0" collapsed="false">
      <c r="B178" s="6" t="n">
        <v>23</v>
      </c>
      <c r="F178" s="6" t="s">
        <v>676</v>
      </c>
      <c r="G178" s="6" t="s">
        <v>213</v>
      </c>
      <c r="H178" s="6" t="n">
        <v>1</v>
      </c>
      <c r="I178" s="7" t="n">
        <v>1.5</v>
      </c>
      <c r="J178" s="7" t="n">
        <v>0.8</v>
      </c>
      <c r="K178" s="16" t="s">
        <v>226</v>
      </c>
      <c r="L178" s="7" t="n">
        <f aca="false">I178*J178</f>
        <v>1.2</v>
      </c>
      <c r="M178" s="7" t="n">
        <v>17.4</v>
      </c>
      <c r="N178" s="7" t="n">
        <v>-25.85</v>
      </c>
      <c r="O178" s="6" t="s">
        <v>386</v>
      </c>
      <c r="P178" s="6"/>
      <c r="Q178" s="6" t="s">
        <v>677</v>
      </c>
      <c r="R178" s="16" t="s">
        <v>281</v>
      </c>
    </row>
    <row r="179" customFormat="false" ht="15" hidden="false" customHeight="false" outlineLevel="0" collapsed="false">
      <c r="B179" s="6" t="n">
        <v>23</v>
      </c>
      <c r="F179" s="6" t="s">
        <v>678</v>
      </c>
      <c r="G179" s="6" t="s">
        <v>225</v>
      </c>
      <c r="H179" s="6" t="n">
        <v>1</v>
      </c>
      <c r="I179" s="7" t="n">
        <v>1.4</v>
      </c>
      <c r="J179" s="7" t="n">
        <v>0.45</v>
      </c>
      <c r="K179" s="16" t="s">
        <v>226</v>
      </c>
      <c r="L179" s="7" t="n">
        <f aca="false">I179*J179</f>
        <v>0.63</v>
      </c>
      <c r="M179" s="7" t="n">
        <v>19.3</v>
      </c>
      <c r="N179" s="7" t="n">
        <v>-25.85</v>
      </c>
      <c r="O179" s="6" t="s">
        <v>386</v>
      </c>
      <c r="P179" s="6"/>
      <c r="Q179" s="6" t="s">
        <v>679</v>
      </c>
      <c r="R179" s="16" t="s">
        <v>281</v>
      </c>
    </row>
    <row r="180" customFormat="false" ht="15" hidden="false" customHeight="false" outlineLevel="0" collapsed="false">
      <c r="B180" s="6" t="n">
        <v>23</v>
      </c>
      <c r="F180" s="6" t="s">
        <v>303</v>
      </c>
      <c r="G180" s="6" t="s">
        <v>237</v>
      </c>
      <c r="H180" s="6" t="n">
        <v>1</v>
      </c>
      <c r="I180" s="7" t="n">
        <v>0.6</v>
      </c>
      <c r="J180" s="7" t="n">
        <v>0.34</v>
      </c>
      <c r="K180" s="6" t="s">
        <v>220</v>
      </c>
      <c r="L180" s="7" t="n">
        <f aca="false">I180*J180</f>
        <v>0.204</v>
      </c>
      <c r="M180" s="7" t="n">
        <v>18.35</v>
      </c>
      <c r="N180" s="7" t="n">
        <v>-24.75</v>
      </c>
      <c r="O180" s="6" t="s">
        <v>476</v>
      </c>
      <c r="P180" s="6" t="s">
        <v>239</v>
      </c>
      <c r="Q180" s="6" t="s">
        <v>680</v>
      </c>
    </row>
    <row r="181" customFormat="false" ht="22.35" hidden="false" customHeight="false" outlineLevel="0" collapsed="false">
      <c r="B181" s="6" t="n">
        <v>23</v>
      </c>
      <c r="F181" s="6" t="s">
        <v>681</v>
      </c>
      <c r="G181" s="6" t="s">
        <v>253</v>
      </c>
      <c r="H181" s="6" t="n">
        <v>3</v>
      </c>
      <c r="I181" s="7" t="n">
        <v>3.6</v>
      </c>
      <c r="J181" s="7" t="n">
        <v>0.6</v>
      </c>
      <c r="K181" s="7" t="n">
        <v>2</v>
      </c>
      <c r="L181" s="7" t="n">
        <f aca="false">I181*J181</f>
        <v>2.16</v>
      </c>
      <c r="M181" s="7" t="n">
        <v>16.8</v>
      </c>
      <c r="N181" s="7" t="n">
        <v>-24</v>
      </c>
      <c r="O181" s="6" t="s">
        <v>457</v>
      </c>
      <c r="P181" s="6" t="s">
        <v>426</v>
      </c>
      <c r="Q181" s="6" t="s">
        <v>682</v>
      </c>
    </row>
    <row r="182" customFormat="false" ht="22.35" hidden="false" customHeight="false" outlineLevel="0" collapsed="false">
      <c r="A182" s="12" t="s">
        <v>74</v>
      </c>
      <c r="B182" s="12"/>
      <c r="C182" s="12" t="s">
        <v>75</v>
      </c>
      <c r="D182" s="12"/>
      <c r="E182" s="12"/>
      <c r="F182" s="12" t="s">
        <v>207</v>
      </c>
      <c r="G182" s="12"/>
      <c r="H182" s="12"/>
      <c r="I182" s="13" t="n">
        <v>4.2</v>
      </c>
      <c r="J182" s="13" t="n">
        <v>2.8</v>
      </c>
      <c r="K182" s="12"/>
      <c r="L182" s="13" t="n">
        <f aca="false">I182*J182</f>
        <v>11.76</v>
      </c>
      <c r="M182" s="13" t="n">
        <v>16.6</v>
      </c>
      <c r="N182" s="13" t="n">
        <v>-29.2</v>
      </c>
      <c r="O182" s="12" t="s">
        <v>683</v>
      </c>
      <c r="P182" s="12"/>
      <c r="Q182" s="12" t="s">
        <v>684</v>
      </c>
      <c r="R182" s="12"/>
      <c r="S182" s="13" t="n">
        <f aca="false">SUM(L183:L188)</f>
        <v>3.784</v>
      </c>
      <c r="T182" s="14" t="n">
        <f aca="false">S182/L182</f>
        <v>0.321768707482993</v>
      </c>
    </row>
    <row r="183" customFormat="false" ht="15" hidden="false" customHeight="false" outlineLevel="0" collapsed="false">
      <c r="A183" s="9"/>
      <c r="B183" s="9" t="n">
        <v>24</v>
      </c>
      <c r="C183" s="9" t="s">
        <v>685</v>
      </c>
      <c r="D183" s="9" t="n">
        <v>1</v>
      </c>
      <c r="E183" s="9" t="n">
        <v>1</v>
      </c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 t="s">
        <v>686</v>
      </c>
      <c r="R183" s="9"/>
      <c r="S183" s="9"/>
      <c r="T183" s="9"/>
    </row>
    <row r="184" customFormat="false" ht="15" hidden="false" customHeight="false" outlineLevel="0" collapsed="false">
      <c r="B184" s="6" t="n">
        <v>24</v>
      </c>
      <c r="F184" s="6" t="s">
        <v>687</v>
      </c>
      <c r="G184" s="6" t="s">
        <v>213</v>
      </c>
      <c r="H184" s="6" t="n">
        <v>1</v>
      </c>
      <c r="I184" s="7" t="n">
        <v>1.6</v>
      </c>
      <c r="J184" s="7" t="n">
        <v>1</v>
      </c>
      <c r="K184" s="16" t="s">
        <v>226</v>
      </c>
      <c r="L184" s="7" t="n">
        <f aca="false">I184*J184</f>
        <v>1.6</v>
      </c>
      <c r="M184" s="7" t="n">
        <v>17.4</v>
      </c>
      <c r="N184" s="7" t="n">
        <v>-28.6</v>
      </c>
      <c r="O184" s="6" t="s">
        <v>594</v>
      </c>
      <c r="P184" s="6" t="s">
        <v>688</v>
      </c>
      <c r="Q184" s="6" t="s">
        <v>689</v>
      </c>
      <c r="R184" s="16" t="s">
        <v>690</v>
      </c>
    </row>
    <row r="185" customFormat="false" ht="15" hidden="false" customHeight="false" outlineLevel="0" collapsed="false">
      <c r="B185" s="6" t="n">
        <v>24</v>
      </c>
      <c r="F185" s="6" t="s">
        <v>691</v>
      </c>
      <c r="G185" s="6" t="s">
        <v>225</v>
      </c>
      <c r="H185" s="6" t="n">
        <v>1</v>
      </c>
      <c r="I185" s="7" t="n">
        <v>1.6</v>
      </c>
      <c r="J185" s="7" t="n">
        <v>0.45</v>
      </c>
      <c r="K185" s="16" t="s">
        <v>226</v>
      </c>
      <c r="L185" s="7" t="n">
        <f aca="false">I185*J185</f>
        <v>0.72</v>
      </c>
      <c r="M185" s="7" t="n">
        <v>17.4</v>
      </c>
      <c r="N185" s="7" t="n">
        <v>-27.55</v>
      </c>
      <c r="O185" s="6" t="s">
        <v>692</v>
      </c>
      <c r="P185" s="6"/>
      <c r="Q185" s="6" t="s">
        <v>693</v>
      </c>
      <c r="R185" s="16" t="s">
        <v>281</v>
      </c>
    </row>
    <row r="186" customFormat="false" ht="15" hidden="false" customHeight="false" outlineLevel="0" collapsed="false">
      <c r="B186" s="6" t="n">
        <v>24</v>
      </c>
      <c r="F186" s="6" t="s">
        <v>694</v>
      </c>
      <c r="G186" s="6" t="s">
        <v>225</v>
      </c>
      <c r="H186" s="6" t="n">
        <v>1</v>
      </c>
      <c r="I186" s="7" t="n">
        <v>0.9</v>
      </c>
      <c r="J186" s="7" t="n">
        <v>0.6</v>
      </c>
      <c r="K186" s="16" t="s">
        <v>226</v>
      </c>
      <c r="L186" s="7" t="n">
        <f aca="false">I186*J186</f>
        <v>0.54</v>
      </c>
      <c r="M186" s="7" t="n">
        <v>19.6</v>
      </c>
      <c r="N186" s="7" t="n">
        <v>-28.6</v>
      </c>
      <c r="O186" s="6" t="s">
        <v>389</v>
      </c>
      <c r="P186" s="6"/>
      <c r="Q186" s="6" t="s">
        <v>695</v>
      </c>
      <c r="R186" s="16" t="s">
        <v>281</v>
      </c>
    </row>
    <row r="187" customFormat="false" ht="15" hidden="false" customHeight="false" outlineLevel="0" collapsed="false">
      <c r="B187" s="6" t="n">
        <v>24</v>
      </c>
      <c r="F187" s="6" t="s">
        <v>303</v>
      </c>
      <c r="G187" s="6" t="s">
        <v>237</v>
      </c>
      <c r="H187" s="6" t="n">
        <v>1</v>
      </c>
      <c r="I187" s="7" t="n">
        <v>0.6</v>
      </c>
      <c r="J187" s="7" t="n">
        <v>0.34</v>
      </c>
      <c r="K187" s="6" t="s">
        <v>220</v>
      </c>
      <c r="L187" s="7" t="n">
        <f aca="false">I187*J187</f>
        <v>0.204</v>
      </c>
      <c r="M187" s="7" t="n">
        <v>19.65</v>
      </c>
      <c r="N187" s="7" t="n">
        <v>-27.85</v>
      </c>
      <c r="O187" s="6" t="s">
        <v>389</v>
      </c>
      <c r="P187" s="6" t="s">
        <v>239</v>
      </c>
      <c r="Q187" s="6" t="s">
        <v>696</v>
      </c>
    </row>
    <row r="188" customFormat="false" ht="22.35" hidden="false" customHeight="false" outlineLevel="0" collapsed="false">
      <c r="B188" s="6" t="n">
        <v>24</v>
      </c>
      <c r="F188" s="6" t="s">
        <v>697</v>
      </c>
      <c r="G188" s="6" t="s">
        <v>253</v>
      </c>
      <c r="H188" s="6" t="n">
        <v>1</v>
      </c>
      <c r="I188" s="7" t="n">
        <v>1.2</v>
      </c>
      <c r="J188" s="7" t="n">
        <v>0.6</v>
      </c>
      <c r="K188" s="7" t="n">
        <v>2</v>
      </c>
      <c r="L188" s="7" t="n">
        <f aca="false">I188*J188</f>
        <v>0.72</v>
      </c>
      <c r="M188" s="7" t="n">
        <v>19.2</v>
      </c>
      <c r="N188" s="7" t="n">
        <v>-27</v>
      </c>
      <c r="O188" s="6" t="s">
        <v>476</v>
      </c>
      <c r="P188" s="6" t="s">
        <v>426</v>
      </c>
      <c r="Q188" s="6" t="s">
        <v>698</v>
      </c>
    </row>
    <row r="189" customFormat="false" ht="32.8" hidden="false" customHeight="false" outlineLevel="0" collapsed="false">
      <c r="A189" s="12" t="s">
        <v>76</v>
      </c>
      <c r="B189" s="12"/>
      <c r="C189" s="12" t="s">
        <v>77</v>
      </c>
      <c r="D189" s="12"/>
      <c r="E189" s="12"/>
      <c r="F189" s="12" t="s">
        <v>207</v>
      </c>
      <c r="G189" s="12"/>
      <c r="H189" s="12"/>
      <c r="I189" s="13" t="n">
        <v>4.2</v>
      </c>
      <c r="J189" s="13" t="n">
        <v>2.8</v>
      </c>
      <c r="K189" s="12"/>
      <c r="L189" s="13" t="n">
        <f aca="false">I189*J189</f>
        <v>11.76</v>
      </c>
      <c r="M189" s="13" t="n">
        <v>16.6</v>
      </c>
      <c r="N189" s="13" t="n">
        <v>-32</v>
      </c>
      <c r="O189" s="12" t="s">
        <v>699</v>
      </c>
      <c r="P189" s="12"/>
      <c r="Q189" s="12" t="s">
        <v>700</v>
      </c>
      <c r="R189" s="12"/>
      <c r="S189" s="13" t="n">
        <f aca="false">SUM(L190:L195)</f>
        <v>4.924</v>
      </c>
      <c r="T189" s="14" t="n">
        <f aca="false">S189/L189</f>
        <v>0.418707482993197</v>
      </c>
    </row>
    <row r="190" customFormat="false" ht="15" hidden="false" customHeight="false" outlineLevel="0" collapsed="false">
      <c r="A190" s="9"/>
      <c r="B190" s="9" t="n">
        <v>25</v>
      </c>
      <c r="C190" s="9" t="s">
        <v>701</v>
      </c>
      <c r="D190" s="9" t="n">
        <v>1</v>
      </c>
      <c r="E190" s="9" t="n">
        <v>1</v>
      </c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 t="s">
        <v>702</v>
      </c>
      <c r="R190" s="9"/>
      <c r="S190" s="9"/>
      <c r="T190" s="9"/>
    </row>
    <row r="191" customFormat="false" ht="15" hidden="false" customHeight="false" outlineLevel="0" collapsed="false">
      <c r="B191" s="6" t="n">
        <v>25</v>
      </c>
      <c r="F191" s="6" t="s">
        <v>703</v>
      </c>
      <c r="G191" s="6" t="s">
        <v>213</v>
      </c>
      <c r="H191" s="6" t="n">
        <v>1</v>
      </c>
      <c r="I191" s="7" t="n">
        <v>1.5</v>
      </c>
      <c r="J191" s="7" t="n">
        <v>0.8</v>
      </c>
      <c r="K191" s="16" t="s">
        <v>226</v>
      </c>
      <c r="L191" s="7" t="n">
        <f aca="false">I191*J191</f>
        <v>1.2</v>
      </c>
      <c r="M191" s="7" t="n">
        <v>17.4</v>
      </c>
      <c r="N191" s="7" t="n">
        <v>-31.5</v>
      </c>
      <c r="O191" s="6" t="s">
        <v>386</v>
      </c>
      <c r="P191" s="6" t="s">
        <v>704</v>
      </c>
      <c r="Q191" s="6" t="s">
        <v>705</v>
      </c>
      <c r="R191" s="16" t="s">
        <v>281</v>
      </c>
    </row>
    <row r="192" customFormat="false" ht="15" hidden="false" customHeight="false" outlineLevel="0" collapsed="false">
      <c r="B192" s="6" t="n">
        <v>25</v>
      </c>
      <c r="F192" s="6" t="s">
        <v>706</v>
      </c>
      <c r="G192" s="6" t="s">
        <v>225</v>
      </c>
      <c r="H192" s="6" t="n">
        <v>1</v>
      </c>
      <c r="I192" s="7" t="n">
        <v>1</v>
      </c>
      <c r="J192" s="7" t="n">
        <v>0.45</v>
      </c>
      <c r="K192" s="16" t="s">
        <v>226</v>
      </c>
      <c r="L192" s="7" t="n">
        <f aca="false">I192*J192</f>
        <v>0.45</v>
      </c>
      <c r="M192" s="7" t="n">
        <v>19</v>
      </c>
      <c r="N192" s="7" t="n">
        <v>-31.55</v>
      </c>
      <c r="O192" s="6" t="s">
        <v>386</v>
      </c>
      <c r="P192" s="6"/>
      <c r="Q192" s="6" t="s">
        <v>707</v>
      </c>
      <c r="R192" s="16" t="s">
        <v>281</v>
      </c>
    </row>
    <row r="193" customFormat="false" ht="15" hidden="false" customHeight="false" outlineLevel="0" collapsed="false">
      <c r="B193" s="6" t="n">
        <v>25</v>
      </c>
      <c r="F193" s="6" t="s">
        <v>303</v>
      </c>
      <c r="G193" s="6" t="s">
        <v>237</v>
      </c>
      <c r="H193" s="6" t="n">
        <v>1</v>
      </c>
      <c r="I193" s="7" t="n">
        <v>0.6</v>
      </c>
      <c r="J193" s="7" t="n">
        <v>0.34</v>
      </c>
      <c r="K193" s="6" t="s">
        <v>220</v>
      </c>
      <c r="L193" s="7" t="n">
        <f aca="false">I193*J193</f>
        <v>0.204</v>
      </c>
      <c r="M193" s="7" t="n">
        <v>17.9</v>
      </c>
      <c r="N193" s="7" t="n">
        <v>-30.55</v>
      </c>
      <c r="O193" s="6" t="s">
        <v>476</v>
      </c>
      <c r="P193" s="6" t="s">
        <v>239</v>
      </c>
      <c r="Q193" s="6" t="s">
        <v>708</v>
      </c>
    </row>
    <row r="194" customFormat="false" ht="22.35" hidden="false" customHeight="false" outlineLevel="0" collapsed="false">
      <c r="B194" s="6" t="n">
        <v>25</v>
      </c>
      <c r="F194" s="6" t="s">
        <v>709</v>
      </c>
      <c r="G194" s="6" t="s">
        <v>253</v>
      </c>
      <c r="H194" s="6" t="n">
        <v>3</v>
      </c>
      <c r="I194" s="7" t="n">
        <v>3.6</v>
      </c>
      <c r="J194" s="7" t="n">
        <v>0.6</v>
      </c>
      <c r="K194" s="7" t="n">
        <v>2</v>
      </c>
      <c r="L194" s="7" t="n">
        <f aca="false">I194*J194</f>
        <v>2.16</v>
      </c>
      <c r="M194" s="7" t="n">
        <v>16.8</v>
      </c>
      <c r="N194" s="7" t="n">
        <v>-29.8</v>
      </c>
      <c r="O194" s="6" t="s">
        <v>457</v>
      </c>
      <c r="P194" s="6" t="s">
        <v>426</v>
      </c>
      <c r="Q194" s="6" t="s">
        <v>710</v>
      </c>
    </row>
    <row r="195" customFormat="false" ht="22.35" hidden="false" customHeight="false" outlineLevel="0" collapsed="false">
      <c r="B195" s="6" t="n">
        <v>25</v>
      </c>
      <c r="F195" s="6" t="s">
        <v>711</v>
      </c>
      <c r="G195" s="6" t="s">
        <v>259</v>
      </c>
      <c r="H195" s="6" t="n">
        <v>1</v>
      </c>
      <c r="I195" s="7" t="n">
        <v>0.7</v>
      </c>
      <c r="J195" s="7" t="n">
        <v>1.3</v>
      </c>
      <c r="K195" s="16" t="s">
        <v>226</v>
      </c>
      <c r="L195" s="7" t="n">
        <f aca="false">I195*J195</f>
        <v>0.91</v>
      </c>
      <c r="M195" s="7" t="n">
        <v>20.05</v>
      </c>
      <c r="N195" s="7" t="n">
        <v>-31.3</v>
      </c>
      <c r="O195" s="6" t="s">
        <v>389</v>
      </c>
      <c r="P195" s="6" t="s">
        <v>406</v>
      </c>
      <c r="Q195" s="6" t="s">
        <v>712</v>
      </c>
      <c r="R195" s="16" t="s">
        <v>263</v>
      </c>
    </row>
    <row r="196" customFormat="false" ht="22.35" hidden="false" customHeight="false" outlineLevel="0" collapsed="false">
      <c r="A196" s="12" t="s">
        <v>78</v>
      </c>
      <c r="B196" s="12"/>
      <c r="C196" s="12" t="s">
        <v>79</v>
      </c>
      <c r="D196" s="12"/>
      <c r="E196" s="12"/>
      <c r="F196" s="12" t="s">
        <v>207</v>
      </c>
      <c r="G196" s="12"/>
      <c r="H196" s="12"/>
      <c r="I196" s="13" t="n">
        <v>4.2</v>
      </c>
      <c r="J196" s="13" t="n">
        <v>2.4</v>
      </c>
      <c r="K196" s="12"/>
      <c r="L196" s="13" t="n">
        <f aca="false">I196*J196</f>
        <v>10.08</v>
      </c>
      <c r="M196" s="13" t="n">
        <v>16.6</v>
      </c>
      <c r="N196" s="13" t="n">
        <v>-34.4</v>
      </c>
      <c r="O196" s="12" t="s">
        <v>713</v>
      </c>
      <c r="P196" s="12"/>
      <c r="Q196" s="12" t="s">
        <v>714</v>
      </c>
      <c r="R196" s="12"/>
      <c r="S196" s="13" t="n">
        <f aca="false">SUM(L197:L201)</f>
        <v>4.024</v>
      </c>
      <c r="T196" s="14" t="n">
        <f aca="false">S196/L196</f>
        <v>0.399206349206349</v>
      </c>
    </row>
    <row r="197" customFormat="false" ht="15" hidden="false" customHeight="false" outlineLevel="0" collapsed="false">
      <c r="A197" s="9"/>
      <c r="B197" s="9" t="n">
        <v>26</v>
      </c>
      <c r="C197" s="9" t="s">
        <v>715</v>
      </c>
      <c r="D197" s="9" t="n">
        <v>2</v>
      </c>
      <c r="E197" s="9" t="n">
        <v>2</v>
      </c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 t="s">
        <v>716</v>
      </c>
      <c r="R197" s="9"/>
      <c r="S197" s="9"/>
      <c r="T197" s="9"/>
    </row>
    <row r="198" customFormat="false" ht="15" hidden="false" customHeight="false" outlineLevel="0" collapsed="false">
      <c r="B198" s="6" t="n">
        <v>26</v>
      </c>
      <c r="F198" s="6" t="s">
        <v>717</v>
      </c>
      <c r="G198" s="6" t="s">
        <v>213</v>
      </c>
      <c r="H198" s="6" t="n">
        <v>1</v>
      </c>
      <c r="I198" s="7" t="n">
        <v>2.2</v>
      </c>
      <c r="J198" s="7" t="n">
        <v>0.85</v>
      </c>
      <c r="K198" s="16" t="s">
        <v>226</v>
      </c>
      <c r="L198" s="7" t="n">
        <f aca="false">I198*J198</f>
        <v>1.87</v>
      </c>
      <c r="M198" s="7" t="n">
        <v>17</v>
      </c>
      <c r="N198" s="7" t="n">
        <v>-33.95</v>
      </c>
      <c r="O198" s="6" t="s">
        <v>594</v>
      </c>
      <c r="P198" s="6"/>
      <c r="Q198" s="6" t="s">
        <v>718</v>
      </c>
      <c r="R198" s="16" t="s">
        <v>281</v>
      </c>
    </row>
    <row r="199" customFormat="false" ht="15" hidden="false" customHeight="false" outlineLevel="0" collapsed="false">
      <c r="B199" s="6" t="n">
        <v>26</v>
      </c>
      <c r="F199" s="6" t="s">
        <v>719</v>
      </c>
      <c r="G199" s="6" t="s">
        <v>225</v>
      </c>
      <c r="H199" s="6" t="n">
        <v>1</v>
      </c>
      <c r="I199" s="7" t="n">
        <v>1.3</v>
      </c>
      <c r="J199" s="7" t="n">
        <v>0.75</v>
      </c>
      <c r="K199" s="16" t="s">
        <v>226</v>
      </c>
      <c r="L199" s="7" t="n">
        <f aca="false">I199*J199</f>
        <v>0.975</v>
      </c>
      <c r="M199" s="7" t="n">
        <v>19.4</v>
      </c>
      <c r="N199" s="7" t="n">
        <v>-33.95</v>
      </c>
      <c r="O199" s="6" t="s">
        <v>720</v>
      </c>
      <c r="P199" s="6"/>
      <c r="Q199" s="6" t="s">
        <v>721</v>
      </c>
      <c r="R199" s="16" t="s">
        <v>722</v>
      </c>
    </row>
    <row r="200" customFormat="false" ht="15" hidden="false" customHeight="false" outlineLevel="0" collapsed="false">
      <c r="B200" s="6" t="n">
        <v>26</v>
      </c>
      <c r="F200" s="6" t="s">
        <v>723</v>
      </c>
      <c r="G200" s="6" t="s">
        <v>225</v>
      </c>
      <c r="H200" s="6" t="n">
        <v>1</v>
      </c>
      <c r="I200" s="7" t="n">
        <v>1.3</v>
      </c>
      <c r="J200" s="7" t="n">
        <v>0.75</v>
      </c>
      <c r="K200" s="16" t="s">
        <v>226</v>
      </c>
      <c r="L200" s="7" t="n">
        <f aca="false">I200*J200</f>
        <v>0.975</v>
      </c>
      <c r="M200" s="7" t="n">
        <v>19.4</v>
      </c>
      <c r="N200" s="7" t="n">
        <v>-33.1</v>
      </c>
      <c r="O200" s="6" t="s">
        <v>724</v>
      </c>
      <c r="P200" s="6"/>
      <c r="Q200" s="6" t="s">
        <v>725</v>
      </c>
      <c r="R200" s="16" t="s">
        <v>722</v>
      </c>
    </row>
    <row r="201" customFormat="false" ht="15" hidden="false" customHeight="false" outlineLevel="0" collapsed="false">
      <c r="B201" s="6" t="n">
        <v>26</v>
      </c>
      <c r="F201" s="6" t="s">
        <v>303</v>
      </c>
      <c r="G201" s="6" t="s">
        <v>237</v>
      </c>
      <c r="H201" s="6" t="n">
        <v>1</v>
      </c>
      <c r="I201" s="7" t="n">
        <v>0.6</v>
      </c>
      <c r="J201" s="7" t="n">
        <v>0.34</v>
      </c>
      <c r="K201" s="6" t="s">
        <v>220</v>
      </c>
      <c r="L201" s="7" t="n">
        <f aca="false">I201*J201</f>
        <v>0.204</v>
      </c>
      <c r="M201" s="7" t="n">
        <v>17.8</v>
      </c>
      <c r="N201" s="7" t="n">
        <v>-32.9</v>
      </c>
      <c r="O201" s="6" t="s">
        <v>476</v>
      </c>
      <c r="P201" s="6" t="s">
        <v>239</v>
      </c>
      <c r="Q201" s="6" t="s">
        <v>726</v>
      </c>
    </row>
    <row r="202" customFormat="false" ht="43.25" hidden="false" customHeight="false" outlineLevel="0" collapsed="false">
      <c r="A202" s="12" t="s">
        <v>80</v>
      </c>
      <c r="B202" s="12"/>
      <c r="C202" s="12" t="s">
        <v>81</v>
      </c>
      <c r="D202" s="12"/>
      <c r="E202" s="12"/>
      <c r="F202" s="12" t="s">
        <v>207</v>
      </c>
      <c r="G202" s="12"/>
      <c r="H202" s="12"/>
      <c r="I202" s="13" t="n">
        <v>5.5</v>
      </c>
      <c r="J202" s="13" t="n">
        <v>6.4</v>
      </c>
      <c r="K202" s="12"/>
      <c r="L202" s="13" t="n">
        <f aca="false">I202*J202</f>
        <v>35.2</v>
      </c>
      <c r="M202" s="13" t="n">
        <v>22</v>
      </c>
      <c r="N202" s="13" t="n">
        <v>-34.4</v>
      </c>
      <c r="O202" s="12" t="s">
        <v>727</v>
      </c>
      <c r="P202" s="12"/>
      <c r="Q202" s="12" t="s">
        <v>728</v>
      </c>
      <c r="R202" s="12"/>
      <c r="S202" s="13" t="n">
        <f aca="false">SUM(L203:L212)</f>
        <v>11.508</v>
      </c>
      <c r="T202" s="14" t="n">
        <f aca="false">S202/L202</f>
        <v>0.326931818181818</v>
      </c>
    </row>
    <row r="203" customFormat="false" ht="15" hidden="false" customHeight="false" outlineLevel="0" collapsed="false">
      <c r="A203" s="9"/>
      <c r="B203" s="9" t="n">
        <v>26</v>
      </c>
      <c r="C203" s="9" t="s">
        <v>715</v>
      </c>
      <c r="D203" s="9" t="n">
        <v>2</v>
      </c>
      <c r="E203" s="9" t="n">
        <v>2</v>
      </c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 t="s">
        <v>716</v>
      </c>
      <c r="R203" s="9"/>
      <c r="S203" s="9"/>
      <c r="T203" s="9"/>
    </row>
    <row r="204" customFormat="false" ht="15" hidden="false" customHeight="false" outlineLevel="0" collapsed="false">
      <c r="B204" s="6" t="n">
        <v>26</v>
      </c>
      <c r="F204" s="6" t="s">
        <v>729</v>
      </c>
      <c r="G204" s="6" t="s">
        <v>213</v>
      </c>
      <c r="H204" s="6" t="n">
        <v>1</v>
      </c>
      <c r="I204" s="7" t="n">
        <v>0.8</v>
      </c>
      <c r="J204" s="7" t="n">
        <v>2.3</v>
      </c>
      <c r="K204" s="16" t="s">
        <v>226</v>
      </c>
      <c r="L204" s="7" t="n">
        <f aca="false">I204*J204</f>
        <v>1.84</v>
      </c>
      <c r="M204" s="7" t="n">
        <v>22.8</v>
      </c>
      <c r="N204" s="7" t="n">
        <v>-33.95</v>
      </c>
      <c r="O204" s="6" t="s">
        <v>730</v>
      </c>
      <c r="P204" s="6" t="s">
        <v>731</v>
      </c>
      <c r="Q204" s="6" t="s">
        <v>732</v>
      </c>
      <c r="R204" s="16" t="s">
        <v>281</v>
      </c>
    </row>
    <row r="205" customFormat="false" ht="15" hidden="false" customHeight="false" outlineLevel="0" collapsed="false">
      <c r="B205" s="6" t="n">
        <v>26</v>
      </c>
      <c r="F205" s="6" t="s">
        <v>733</v>
      </c>
      <c r="G205" s="6" t="s">
        <v>213</v>
      </c>
      <c r="H205" s="6" t="n">
        <v>1</v>
      </c>
      <c r="I205" s="7" t="n">
        <v>0.8</v>
      </c>
      <c r="J205" s="7" t="n">
        <v>2.85</v>
      </c>
      <c r="K205" s="16" t="s">
        <v>226</v>
      </c>
      <c r="L205" s="7" t="n">
        <f aca="false">I205*J205</f>
        <v>2.28</v>
      </c>
      <c r="M205" s="7" t="n">
        <v>22.8</v>
      </c>
      <c r="N205" s="7" t="n">
        <v>-30.95</v>
      </c>
      <c r="O205" s="6" t="s">
        <v>734</v>
      </c>
      <c r="P205" s="6" t="s">
        <v>731</v>
      </c>
      <c r="Q205" s="6" t="s">
        <v>735</v>
      </c>
      <c r="R205" s="16" t="s">
        <v>281</v>
      </c>
    </row>
    <row r="206" customFormat="false" ht="15" hidden="false" customHeight="false" outlineLevel="0" collapsed="false">
      <c r="B206" s="6" t="n">
        <v>26</v>
      </c>
      <c r="F206" s="6" t="s">
        <v>736</v>
      </c>
      <c r="G206" s="6" t="s">
        <v>225</v>
      </c>
      <c r="H206" s="6" t="n">
        <v>1</v>
      </c>
      <c r="I206" s="7" t="n">
        <v>0.9</v>
      </c>
      <c r="J206" s="7" t="n">
        <v>0.8</v>
      </c>
      <c r="K206" s="16" t="s">
        <v>226</v>
      </c>
      <c r="L206" s="7" t="n">
        <f aca="false">I206*J206</f>
        <v>0.72</v>
      </c>
      <c r="M206" s="7" t="n">
        <v>24.35</v>
      </c>
      <c r="N206" s="7" t="n">
        <v>-33.4</v>
      </c>
      <c r="O206" s="6" t="s">
        <v>737</v>
      </c>
      <c r="P206" s="6"/>
      <c r="Q206" s="6" t="s">
        <v>738</v>
      </c>
    </row>
    <row r="207" customFormat="false" ht="15" hidden="false" customHeight="false" outlineLevel="0" collapsed="false">
      <c r="B207" s="6" t="n">
        <v>26</v>
      </c>
      <c r="F207" s="6" t="s">
        <v>739</v>
      </c>
      <c r="G207" s="6" t="s">
        <v>225</v>
      </c>
      <c r="H207" s="6" t="n">
        <v>1</v>
      </c>
      <c r="I207" s="7" t="n">
        <v>0.9</v>
      </c>
      <c r="J207" s="7" t="n">
        <v>0.8</v>
      </c>
      <c r="K207" s="16" t="s">
        <v>226</v>
      </c>
      <c r="L207" s="7" t="n">
        <f aca="false">I207*J207</f>
        <v>0.72</v>
      </c>
      <c r="M207" s="7" t="n">
        <v>24.35</v>
      </c>
      <c r="N207" s="7" t="n">
        <v>-30.2</v>
      </c>
      <c r="O207" s="6" t="s">
        <v>737</v>
      </c>
      <c r="P207" s="6"/>
      <c r="Q207" s="6" t="s">
        <v>740</v>
      </c>
    </row>
    <row r="208" customFormat="false" ht="15" hidden="false" customHeight="false" outlineLevel="0" collapsed="false">
      <c r="B208" s="6" t="n">
        <v>26</v>
      </c>
      <c r="F208" s="6" t="s">
        <v>741</v>
      </c>
      <c r="G208" s="6" t="s">
        <v>213</v>
      </c>
      <c r="H208" s="6" t="n">
        <v>1</v>
      </c>
      <c r="I208" s="7" t="n">
        <v>1.6</v>
      </c>
      <c r="J208" s="7" t="n">
        <v>1.6</v>
      </c>
      <c r="K208" s="16" t="s">
        <v>226</v>
      </c>
      <c r="L208" s="7" t="n">
        <f aca="false">I208*J208</f>
        <v>2.56</v>
      </c>
      <c r="M208" s="7" t="n">
        <v>25.65</v>
      </c>
      <c r="N208" s="7" t="n">
        <v>-32.4</v>
      </c>
      <c r="O208" s="6" t="s">
        <v>389</v>
      </c>
      <c r="P208" s="6" t="s">
        <v>742</v>
      </c>
      <c r="Q208" s="6" t="s">
        <v>743</v>
      </c>
      <c r="R208" s="16" t="s">
        <v>744</v>
      </c>
    </row>
    <row r="209" customFormat="false" ht="15" hidden="false" customHeight="false" outlineLevel="0" collapsed="false">
      <c r="B209" s="6" t="n">
        <v>26</v>
      </c>
      <c r="F209" s="6" t="s">
        <v>745</v>
      </c>
      <c r="G209" s="6" t="s">
        <v>237</v>
      </c>
      <c r="H209" s="6" t="n">
        <v>1</v>
      </c>
      <c r="I209" s="7" t="n">
        <v>0.6</v>
      </c>
      <c r="J209" s="7" t="n">
        <v>0.34</v>
      </c>
      <c r="K209" s="6" t="s">
        <v>220</v>
      </c>
      <c r="L209" s="7" t="n">
        <f aca="false">I209*J209</f>
        <v>0.204</v>
      </c>
      <c r="M209" s="7" t="n">
        <v>23.62</v>
      </c>
      <c r="N209" s="7" t="n">
        <v>-32.6</v>
      </c>
      <c r="O209" s="6" t="s">
        <v>746</v>
      </c>
      <c r="P209" s="6" t="s">
        <v>239</v>
      </c>
      <c r="Q209" s="6" t="s">
        <v>747</v>
      </c>
    </row>
    <row r="210" customFormat="false" ht="15" hidden="false" customHeight="false" outlineLevel="0" collapsed="false">
      <c r="B210" s="6" t="n">
        <v>26</v>
      </c>
      <c r="F210" s="6" t="s">
        <v>748</v>
      </c>
      <c r="G210" s="6" t="s">
        <v>237</v>
      </c>
      <c r="H210" s="6" t="n">
        <v>1</v>
      </c>
      <c r="I210" s="7" t="n">
        <v>0.6</v>
      </c>
      <c r="J210" s="7" t="n">
        <v>0.34</v>
      </c>
      <c r="K210" s="6" t="s">
        <v>220</v>
      </c>
      <c r="L210" s="7" t="n">
        <f aca="false">I210*J210</f>
        <v>0.204</v>
      </c>
      <c r="M210" s="7" t="n">
        <v>23.62</v>
      </c>
      <c r="N210" s="7" t="n">
        <v>-29.4</v>
      </c>
      <c r="O210" s="6" t="s">
        <v>746</v>
      </c>
      <c r="P210" s="6" t="s">
        <v>239</v>
      </c>
      <c r="Q210" s="6" t="s">
        <v>749</v>
      </c>
    </row>
    <row r="211" customFormat="false" ht="22.35" hidden="false" customHeight="false" outlineLevel="0" collapsed="false">
      <c r="B211" s="6" t="n">
        <v>26</v>
      </c>
      <c r="F211" s="6" t="s">
        <v>750</v>
      </c>
      <c r="G211" s="6" t="s">
        <v>253</v>
      </c>
      <c r="H211" s="6" t="n">
        <v>2</v>
      </c>
      <c r="I211" s="7" t="n">
        <v>0.6</v>
      </c>
      <c r="J211" s="7" t="n">
        <v>2.4</v>
      </c>
      <c r="K211" s="7" t="n">
        <v>2</v>
      </c>
      <c r="L211" s="7" t="n">
        <f aca="false">I211*J211</f>
        <v>1.44</v>
      </c>
      <c r="M211" s="7" t="n">
        <v>22</v>
      </c>
      <c r="N211" s="7" t="n">
        <v>-30.45</v>
      </c>
      <c r="O211" s="6" t="s">
        <v>537</v>
      </c>
      <c r="P211" s="6" t="s">
        <v>426</v>
      </c>
      <c r="Q211" s="6" t="s">
        <v>751</v>
      </c>
    </row>
    <row r="212" customFormat="false" ht="22.35" hidden="false" customHeight="false" outlineLevel="0" collapsed="false">
      <c r="B212" s="6" t="n">
        <v>26</v>
      </c>
      <c r="F212" s="6" t="s">
        <v>752</v>
      </c>
      <c r="G212" s="6" t="s">
        <v>253</v>
      </c>
      <c r="H212" s="6" t="n">
        <v>2</v>
      </c>
      <c r="I212" s="7" t="n">
        <v>0.7</v>
      </c>
      <c r="J212" s="7" t="n">
        <v>2.2</v>
      </c>
      <c r="K212" s="16" t="s">
        <v>226</v>
      </c>
      <c r="L212" s="7" t="n">
        <f aca="false">I212*J212</f>
        <v>1.54</v>
      </c>
      <c r="M212" s="7" t="n">
        <v>22.05</v>
      </c>
      <c r="N212" s="7" t="n">
        <v>-33.9</v>
      </c>
      <c r="O212" s="6" t="s">
        <v>505</v>
      </c>
      <c r="P212" s="6" t="s">
        <v>753</v>
      </c>
      <c r="Q212" s="6" t="s">
        <v>754</v>
      </c>
      <c r="R212" s="16" t="s">
        <v>263</v>
      </c>
    </row>
    <row r="213" customFormat="false" ht="32.8" hidden="false" customHeight="false" outlineLevel="0" collapsed="false">
      <c r="A213" s="12" t="s">
        <v>82</v>
      </c>
      <c r="B213" s="12"/>
      <c r="C213" s="12" t="s">
        <v>83</v>
      </c>
      <c r="D213" s="12"/>
      <c r="E213" s="12"/>
      <c r="F213" s="12" t="s">
        <v>207</v>
      </c>
      <c r="G213" s="12"/>
      <c r="H213" s="12"/>
      <c r="I213" s="13" t="n">
        <v>3.35</v>
      </c>
      <c r="J213" s="13" t="n">
        <v>4.6</v>
      </c>
      <c r="K213" s="12"/>
      <c r="L213" s="13" t="n">
        <f aca="false">I213*J213</f>
        <v>15.41</v>
      </c>
      <c r="M213" s="13" t="n">
        <v>22</v>
      </c>
      <c r="N213" s="13" t="n">
        <v>-28</v>
      </c>
      <c r="O213" s="12" t="s">
        <v>755</v>
      </c>
      <c r="P213" s="12"/>
      <c r="Q213" s="12" t="s">
        <v>756</v>
      </c>
      <c r="R213" s="12"/>
      <c r="S213" s="13" t="n">
        <f aca="false">SUM(L214:L219)</f>
        <v>8.7775</v>
      </c>
      <c r="T213" s="14" t="n">
        <f aca="false">S213/L213</f>
        <v>0.56959766385464</v>
      </c>
    </row>
    <row r="214" customFormat="false" ht="15" hidden="false" customHeight="false" outlineLevel="0" collapsed="false">
      <c r="A214" s="9"/>
      <c r="B214" s="9" t="n">
        <v>26</v>
      </c>
      <c r="C214" s="9" t="s">
        <v>715</v>
      </c>
      <c r="D214" s="9" t="n">
        <v>2</v>
      </c>
      <c r="E214" s="9" t="n">
        <v>2</v>
      </c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 t="s">
        <v>716</v>
      </c>
      <c r="R214" s="9"/>
      <c r="S214" s="9"/>
      <c r="T214" s="9"/>
    </row>
    <row r="215" customFormat="false" ht="15" hidden="false" customHeight="false" outlineLevel="0" collapsed="false">
      <c r="B215" s="6" t="n">
        <v>26</v>
      </c>
      <c r="F215" s="6" t="s">
        <v>757</v>
      </c>
      <c r="G215" s="6" t="s">
        <v>225</v>
      </c>
      <c r="H215" s="6" t="n">
        <v>1</v>
      </c>
      <c r="I215" s="7" t="n">
        <v>1.35</v>
      </c>
      <c r="J215" s="7" t="n">
        <v>1.4</v>
      </c>
      <c r="K215" s="16" t="s">
        <v>226</v>
      </c>
      <c r="L215" s="7" t="n">
        <f aca="false">I215*J215</f>
        <v>1.89</v>
      </c>
      <c r="M215" s="7" t="n">
        <v>22.1</v>
      </c>
      <c r="N215" s="7" t="n">
        <v>-27.5</v>
      </c>
      <c r="O215" s="6" t="s">
        <v>505</v>
      </c>
      <c r="P215" s="6"/>
      <c r="Q215" s="6" t="s">
        <v>758</v>
      </c>
      <c r="R215" s="16" t="s">
        <v>722</v>
      </c>
    </row>
    <row r="216" customFormat="false" ht="15" hidden="false" customHeight="false" outlineLevel="0" collapsed="false">
      <c r="B216" s="6" t="n">
        <v>26</v>
      </c>
      <c r="F216" s="6" t="s">
        <v>719</v>
      </c>
      <c r="G216" s="6" t="s">
        <v>225</v>
      </c>
      <c r="H216" s="6" t="n">
        <v>1</v>
      </c>
      <c r="I216" s="7" t="n">
        <v>1.5</v>
      </c>
      <c r="J216" s="7" t="n">
        <v>1.4</v>
      </c>
      <c r="K216" s="16" t="s">
        <v>226</v>
      </c>
      <c r="L216" s="7" t="n">
        <f aca="false">I216*J216</f>
        <v>2.1</v>
      </c>
      <c r="M216" s="7" t="n">
        <v>23.75</v>
      </c>
      <c r="N216" s="7" t="n">
        <v>-25.45</v>
      </c>
      <c r="O216" s="6" t="s">
        <v>562</v>
      </c>
      <c r="P216" s="6"/>
      <c r="Q216" s="6" t="s">
        <v>759</v>
      </c>
      <c r="R216" s="16" t="s">
        <v>722</v>
      </c>
    </row>
    <row r="217" customFormat="false" ht="15" hidden="false" customHeight="false" outlineLevel="0" collapsed="false">
      <c r="B217" s="6" t="n">
        <v>26</v>
      </c>
      <c r="F217" s="6" t="s">
        <v>760</v>
      </c>
      <c r="G217" s="6" t="s">
        <v>225</v>
      </c>
      <c r="H217" s="6" t="n">
        <v>1</v>
      </c>
      <c r="I217" s="7" t="n">
        <v>1.35</v>
      </c>
      <c r="J217" s="7" t="n">
        <v>0.9</v>
      </c>
      <c r="K217" s="16" t="s">
        <v>226</v>
      </c>
      <c r="L217" s="7" t="n">
        <f aca="false">I217*J217</f>
        <v>1.215</v>
      </c>
      <c r="M217" s="7" t="n">
        <v>22.1</v>
      </c>
      <c r="N217" s="7" t="n">
        <v>-25.9</v>
      </c>
      <c r="O217" s="6" t="s">
        <v>594</v>
      </c>
      <c r="P217" s="6"/>
      <c r="Q217" s="6" t="s">
        <v>761</v>
      </c>
      <c r="R217" s="16" t="s">
        <v>722</v>
      </c>
    </row>
    <row r="218" customFormat="false" ht="15" hidden="false" customHeight="false" outlineLevel="0" collapsed="false">
      <c r="B218" s="6" t="n">
        <v>26</v>
      </c>
      <c r="F218" s="6" t="s">
        <v>762</v>
      </c>
      <c r="G218" s="6" t="s">
        <v>225</v>
      </c>
      <c r="H218" s="6" t="n">
        <v>1</v>
      </c>
      <c r="I218" s="7" t="n">
        <v>0.85</v>
      </c>
      <c r="J218" s="7" t="n">
        <v>1.9</v>
      </c>
      <c r="K218" s="16" t="s">
        <v>226</v>
      </c>
      <c r="L218" s="7" t="n">
        <f aca="false">I218*J218</f>
        <v>1.615</v>
      </c>
      <c r="M218" s="7" t="n">
        <v>24.05</v>
      </c>
      <c r="N218" s="7" t="n">
        <v>-27.55</v>
      </c>
      <c r="O218" s="6" t="s">
        <v>355</v>
      </c>
      <c r="P218" s="6"/>
      <c r="Q218" s="6" t="s">
        <v>763</v>
      </c>
    </row>
    <row r="219" customFormat="false" ht="15" hidden="false" customHeight="false" outlineLevel="0" collapsed="false">
      <c r="B219" s="6" t="n">
        <v>26</v>
      </c>
      <c r="F219" s="6" t="s">
        <v>764</v>
      </c>
      <c r="G219" s="6" t="s">
        <v>225</v>
      </c>
      <c r="H219" s="6" t="n">
        <v>1</v>
      </c>
      <c r="I219" s="7" t="n">
        <v>1.35</v>
      </c>
      <c r="J219" s="7" t="n">
        <v>1.45</v>
      </c>
      <c r="K219" s="16" t="s">
        <v>226</v>
      </c>
      <c r="L219" s="7" t="n">
        <f aca="false">I219*J219</f>
        <v>1.9575</v>
      </c>
      <c r="M219" s="7" t="n">
        <v>22.1</v>
      </c>
      <c r="N219" s="7" t="n">
        <v>-24.95</v>
      </c>
      <c r="O219" s="6" t="s">
        <v>537</v>
      </c>
      <c r="P219" s="6"/>
      <c r="Q219" s="6" t="s">
        <v>765</v>
      </c>
      <c r="R219" s="16" t="s">
        <v>281</v>
      </c>
    </row>
  </sheetData>
  <autoFilter ref="A4:T2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6"/>
    <col collapsed="false" customWidth="true" hidden="false" outlineLevel="0" max="12" min="9" style="0" width="9"/>
    <col collapsed="false" customWidth="true" hidden="false" outlineLevel="0" max="14" min="13" style="0" width="7"/>
    <col collapsed="false" customWidth="true" hidden="false" outlineLevel="0" max="15" min="15" style="0" width="46"/>
    <col collapsed="false" customWidth="true" hidden="false" outlineLevel="0" max="16" min="16" style="0" width="48"/>
    <col collapsed="false" customWidth="true" hidden="false" outlineLevel="0" max="17" min="17" style="0" width="40"/>
    <col collapsed="false" customWidth="true" hidden="false" outlineLevel="0" max="18" min="18" style="0" width="34"/>
    <col collapsed="false" customWidth="true" hidden="false" outlineLevel="0" max="19" min="19" style="0" width="11"/>
    <col collapsed="false" customWidth="true" hidden="false" outlineLevel="0" max="20" min="20" style="0" width="10"/>
  </cols>
  <sheetData>
    <row r="1" customFormat="false" ht="15" hidden="false" customHeight="false" outlineLevel="0" collapsed="false">
      <c r="A1" s="4" t="s">
        <v>766</v>
      </c>
    </row>
    <row r="2" customFormat="false" ht="15" hidden="false" customHeight="false" outlineLevel="0" collapsed="false">
      <c r="A2" s="15" t="s">
        <v>189</v>
      </c>
    </row>
    <row r="4" customFormat="false" ht="32.8" hidden="false" customHeight="false" outlineLevel="0" collapsed="false">
      <c r="A4" s="5" t="s">
        <v>27</v>
      </c>
      <c r="B4" s="5" t="s">
        <v>190</v>
      </c>
      <c r="C4" s="5" t="s">
        <v>191</v>
      </c>
      <c r="D4" s="5" t="s">
        <v>192</v>
      </c>
      <c r="E4" s="5" t="s">
        <v>193</v>
      </c>
      <c r="F4" s="5" t="s">
        <v>194</v>
      </c>
      <c r="G4" s="5" t="s">
        <v>195</v>
      </c>
      <c r="H4" s="5" t="s">
        <v>196</v>
      </c>
      <c r="I4" s="5" t="s">
        <v>29</v>
      </c>
      <c r="J4" s="5" t="s">
        <v>30</v>
      </c>
      <c r="K4" s="5" t="s">
        <v>197</v>
      </c>
      <c r="L4" s="5" t="s">
        <v>198</v>
      </c>
      <c r="M4" s="5" t="s">
        <v>199</v>
      </c>
      <c r="N4" s="5" t="s">
        <v>200</v>
      </c>
      <c r="O4" s="5" t="s">
        <v>201</v>
      </c>
      <c r="P4" s="5" t="s">
        <v>202</v>
      </c>
      <c r="Q4" s="5" t="s">
        <v>203</v>
      </c>
      <c r="R4" s="5" t="s">
        <v>204</v>
      </c>
      <c r="S4" s="5" t="s">
        <v>205</v>
      </c>
      <c r="T4" s="5" t="s">
        <v>206</v>
      </c>
    </row>
    <row r="5" customFormat="false" ht="32.8" hidden="false" customHeight="false" outlineLevel="0" collapsed="false">
      <c r="A5" s="12" t="s">
        <v>36</v>
      </c>
      <c r="B5" s="12"/>
      <c r="C5" s="12" t="s">
        <v>86</v>
      </c>
      <c r="D5" s="12"/>
      <c r="E5" s="12"/>
      <c r="F5" s="12" t="s">
        <v>207</v>
      </c>
      <c r="G5" s="12"/>
      <c r="H5" s="12"/>
      <c r="I5" s="13" t="n">
        <v>7</v>
      </c>
      <c r="J5" s="13" t="n">
        <v>10</v>
      </c>
      <c r="K5" s="12"/>
      <c r="L5" s="13" t="n">
        <v>50.62</v>
      </c>
      <c r="M5" s="13" t="n">
        <v>9.7</v>
      </c>
      <c r="N5" s="13" t="n">
        <v>0</v>
      </c>
      <c r="O5" s="12" t="s">
        <v>767</v>
      </c>
      <c r="P5" s="12"/>
      <c r="Q5" s="12" t="s">
        <v>209</v>
      </c>
      <c r="R5" s="12"/>
      <c r="S5" s="13" t="n">
        <f aca="false">SUM(L6:L7)</f>
        <v>0</v>
      </c>
      <c r="T5" s="14" t="n">
        <f aca="false">S5/L5</f>
        <v>0</v>
      </c>
    </row>
    <row r="6" customFormat="false" ht="22.35" hidden="false" customHeight="false" outlineLevel="0" collapsed="false">
      <c r="A6" s="9"/>
      <c r="B6" s="9" t="s">
        <v>768</v>
      </c>
      <c r="C6" s="9" t="s">
        <v>769</v>
      </c>
      <c r="D6" s="9" t="n">
        <v>1</v>
      </c>
      <c r="E6" s="9" t="n">
        <v>1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 t="s">
        <v>770</v>
      </c>
      <c r="R6" s="9"/>
      <c r="S6" s="9"/>
      <c r="T6" s="9"/>
    </row>
    <row r="7" customFormat="false" ht="22.35" hidden="false" customHeight="false" outlineLevel="0" collapsed="false">
      <c r="B7" s="6" t="s">
        <v>768</v>
      </c>
      <c r="F7" s="6" t="s">
        <v>771</v>
      </c>
      <c r="G7" s="6" t="s">
        <v>772</v>
      </c>
      <c r="K7" s="6" t="s">
        <v>220</v>
      </c>
      <c r="O7" s="6" t="s">
        <v>220</v>
      </c>
      <c r="P7" s="6"/>
      <c r="Q7" s="6" t="s">
        <v>773</v>
      </c>
    </row>
    <row r="8" customFormat="false" ht="22.35" hidden="false" customHeight="false" outlineLevel="0" collapsed="false">
      <c r="A8" s="12" t="s">
        <v>44</v>
      </c>
      <c r="B8" s="12"/>
      <c r="C8" s="12" t="s">
        <v>87</v>
      </c>
      <c r="D8" s="12"/>
      <c r="E8" s="12"/>
      <c r="F8" s="12" t="s">
        <v>207</v>
      </c>
      <c r="G8" s="12"/>
      <c r="H8" s="12"/>
      <c r="I8" s="13" t="n">
        <v>3.4</v>
      </c>
      <c r="J8" s="13" t="n">
        <v>3.5</v>
      </c>
      <c r="K8" s="12"/>
      <c r="L8" s="13" t="n">
        <f aca="false">I8*J8</f>
        <v>11.9</v>
      </c>
      <c r="M8" s="13" t="n">
        <v>13.3</v>
      </c>
      <c r="N8" s="13" t="n">
        <v>3.5</v>
      </c>
      <c r="O8" s="12" t="s">
        <v>774</v>
      </c>
      <c r="P8" s="12"/>
      <c r="Q8" s="12" t="s">
        <v>365</v>
      </c>
      <c r="R8" s="12"/>
      <c r="S8" s="13" t="n">
        <f aca="false">SUM(L9:L10)</f>
        <v>0</v>
      </c>
      <c r="T8" s="14" t="n">
        <f aca="false">S8/L8</f>
        <v>0</v>
      </c>
    </row>
    <row r="9" customFormat="false" ht="22.35" hidden="false" customHeight="false" outlineLevel="0" collapsed="false">
      <c r="A9" s="9"/>
      <c r="B9" s="9" t="s">
        <v>775</v>
      </c>
      <c r="C9" s="9" t="s">
        <v>776</v>
      </c>
      <c r="D9" s="9" t="n">
        <v>0</v>
      </c>
      <c r="E9" s="9" t="n">
        <v>1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 t="s">
        <v>777</v>
      </c>
      <c r="R9" s="9"/>
      <c r="S9" s="9"/>
      <c r="T9" s="9"/>
    </row>
    <row r="10" customFormat="false" ht="15" hidden="false" customHeight="false" outlineLevel="0" collapsed="false">
      <c r="B10" s="6" t="s">
        <v>775</v>
      </c>
      <c r="F10" s="6" t="s">
        <v>778</v>
      </c>
      <c r="G10" s="6" t="s">
        <v>772</v>
      </c>
      <c r="K10" s="6" t="s">
        <v>220</v>
      </c>
      <c r="O10" s="6" t="s">
        <v>220</v>
      </c>
      <c r="P10" s="6"/>
      <c r="Q10" s="6" t="s">
        <v>779</v>
      </c>
    </row>
    <row r="11" customFormat="false" ht="22.35" hidden="false" customHeight="false" outlineLevel="0" collapsed="false">
      <c r="A11" s="12" t="s">
        <v>88</v>
      </c>
      <c r="B11" s="12"/>
      <c r="C11" s="12" t="s">
        <v>89</v>
      </c>
      <c r="D11" s="12"/>
      <c r="E11" s="12"/>
      <c r="F11" s="12" t="s">
        <v>207</v>
      </c>
      <c r="G11" s="12"/>
      <c r="H11" s="12"/>
      <c r="I11" s="13" t="n">
        <v>3.4</v>
      </c>
      <c r="J11" s="13" t="n">
        <v>2.2</v>
      </c>
      <c r="K11" s="12"/>
      <c r="L11" s="13" t="n">
        <f aca="false">I11*J11</f>
        <v>7.48</v>
      </c>
      <c r="M11" s="13" t="n">
        <v>13.3</v>
      </c>
      <c r="N11" s="13" t="n">
        <v>7</v>
      </c>
      <c r="O11" s="12" t="s">
        <v>780</v>
      </c>
      <c r="P11" s="12"/>
      <c r="Q11" s="12" t="s">
        <v>781</v>
      </c>
      <c r="R11" s="12"/>
      <c r="S11" s="13" t="n">
        <f aca="false">SUM(L12:L13)</f>
        <v>5.27</v>
      </c>
      <c r="T11" s="14" t="n">
        <f aca="false">S11/L11</f>
        <v>0.704545454545455</v>
      </c>
    </row>
    <row r="12" customFormat="false" ht="22.35" hidden="false" customHeight="false" outlineLevel="0" collapsed="false">
      <c r="A12" s="9"/>
      <c r="B12" s="9" t="s">
        <v>775</v>
      </c>
      <c r="C12" s="9" t="s">
        <v>776</v>
      </c>
      <c r="D12" s="9" t="n">
        <v>0</v>
      </c>
      <c r="E12" s="9" t="n">
        <v>1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 t="s">
        <v>777</v>
      </c>
      <c r="R12" s="9"/>
      <c r="S12" s="9"/>
      <c r="T12" s="9"/>
    </row>
    <row r="13" customFormat="false" ht="22.35" hidden="false" customHeight="false" outlineLevel="0" collapsed="false">
      <c r="B13" s="6" t="s">
        <v>775</v>
      </c>
      <c r="F13" s="6" t="s">
        <v>782</v>
      </c>
      <c r="G13" s="6" t="s">
        <v>253</v>
      </c>
      <c r="H13" s="6" t="n">
        <v>52</v>
      </c>
      <c r="I13" s="7" t="n">
        <v>3.1</v>
      </c>
      <c r="J13" s="7" t="n">
        <v>1.7</v>
      </c>
      <c r="K13" s="16" t="s">
        <v>226</v>
      </c>
      <c r="L13" s="7" t="n">
        <f aca="false">I13*J13</f>
        <v>5.27</v>
      </c>
      <c r="M13" s="7" t="n">
        <v>13.45</v>
      </c>
      <c r="N13" s="7" t="n">
        <v>7.4</v>
      </c>
      <c r="O13" s="6" t="s">
        <v>783</v>
      </c>
      <c r="P13" s="6" t="s">
        <v>784</v>
      </c>
      <c r="Q13" s="6" t="s">
        <v>785</v>
      </c>
      <c r="R13" s="16" t="s">
        <v>786</v>
      </c>
    </row>
    <row r="14" customFormat="false" ht="22.35" hidden="false" customHeight="false" outlineLevel="0" collapsed="false">
      <c r="A14" s="12" t="s">
        <v>90</v>
      </c>
      <c r="B14" s="12"/>
      <c r="C14" s="12" t="s">
        <v>91</v>
      </c>
      <c r="D14" s="12"/>
      <c r="E14" s="12"/>
      <c r="F14" s="12" t="s">
        <v>207</v>
      </c>
      <c r="G14" s="12"/>
      <c r="H14" s="12"/>
      <c r="I14" s="13" t="n">
        <v>7.2</v>
      </c>
      <c r="J14" s="13" t="n">
        <v>4.4</v>
      </c>
      <c r="K14" s="12"/>
      <c r="L14" s="13" t="n">
        <f aca="false">I14*J14</f>
        <v>31.68</v>
      </c>
      <c r="M14" s="13" t="n">
        <v>16.7</v>
      </c>
      <c r="N14" s="13" t="n">
        <v>5.5</v>
      </c>
      <c r="O14" s="12" t="s">
        <v>787</v>
      </c>
      <c r="P14" s="12"/>
      <c r="Q14" s="12" t="s">
        <v>788</v>
      </c>
      <c r="R14" s="12"/>
      <c r="S14" s="13" t="n">
        <f aca="false">SUM(L15:L20)</f>
        <v>9.324</v>
      </c>
      <c r="T14" s="14" t="n">
        <f aca="false">S14/L14</f>
        <v>0.294318181818182</v>
      </c>
    </row>
    <row r="15" customFormat="false" ht="15" hidden="false" customHeight="false" outlineLevel="0" collapsed="false">
      <c r="A15" s="9"/>
      <c r="B15" s="9" t="s">
        <v>789</v>
      </c>
      <c r="C15" s="9" t="s">
        <v>393</v>
      </c>
      <c r="D15" s="9" t="n">
        <v>1</v>
      </c>
      <c r="E15" s="9" t="n">
        <v>1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 t="s">
        <v>790</v>
      </c>
      <c r="R15" s="9"/>
      <c r="S15" s="9"/>
      <c r="T15" s="9"/>
    </row>
    <row r="16" customFormat="false" ht="15" hidden="false" customHeight="false" outlineLevel="0" collapsed="false">
      <c r="B16" s="6" t="s">
        <v>789</v>
      </c>
      <c r="F16" s="6" t="s">
        <v>791</v>
      </c>
      <c r="G16" s="6" t="s">
        <v>213</v>
      </c>
      <c r="H16" s="6" t="n">
        <v>1</v>
      </c>
      <c r="I16" s="7" t="n">
        <v>3.2</v>
      </c>
      <c r="J16" s="7" t="n">
        <v>1.4</v>
      </c>
      <c r="K16" s="16" t="s">
        <v>226</v>
      </c>
      <c r="L16" s="7" t="n">
        <f aca="false">I16*J16</f>
        <v>4.48</v>
      </c>
      <c r="M16" s="7" t="n">
        <v>18.3</v>
      </c>
      <c r="N16" s="7" t="n">
        <v>8</v>
      </c>
      <c r="O16" s="6" t="s">
        <v>621</v>
      </c>
      <c r="P16" s="6" t="s">
        <v>792</v>
      </c>
      <c r="Q16" s="6" t="s">
        <v>793</v>
      </c>
      <c r="R16" s="16" t="s">
        <v>281</v>
      </c>
    </row>
    <row r="17" customFormat="false" ht="15" hidden="false" customHeight="false" outlineLevel="0" collapsed="false">
      <c r="B17" s="6" t="s">
        <v>789</v>
      </c>
      <c r="F17" s="6" t="s">
        <v>794</v>
      </c>
      <c r="G17" s="6" t="s">
        <v>219</v>
      </c>
      <c r="H17" s="6" t="n">
        <v>1</v>
      </c>
      <c r="I17" s="7" t="n">
        <v>3.2</v>
      </c>
      <c r="J17" s="7" t="n">
        <v>0.7</v>
      </c>
      <c r="K17" s="6" t="s">
        <v>220</v>
      </c>
      <c r="L17" s="7" t="n">
        <f aca="false">I17*J17</f>
        <v>2.24</v>
      </c>
      <c r="M17" s="7" t="n">
        <v>18.3</v>
      </c>
      <c r="N17" s="7" t="n">
        <v>7.1</v>
      </c>
      <c r="O17" s="6" t="s">
        <v>795</v>
      </c>
      <c r="P17" s="6"/>
      <c r="Q17" s="6" t="s">
        <v>796</v>
      </c>
    </row>
    <row r="18" customFormat="false" ht="15" hidden="false" customHeight="false" outlineLevel="0" collapsed="false">
      <c r="B18" s="6" t="s">
        <v>789</v>
      </c>
      <c r="F18" s="6" t="s">
        <v>797</v>
      </c>
      <c r="G18" s="6" t="s">
        <v>225</v>
      </c>
      <c r="H18" s="6" t="n">
        <v>1</v>
      </c>
      <c r="I18" s="7" t="n">
        <v>1.4</v>
      </c>
      <c r="J18" s="7" t="n">
        <v>1</v>
      </c>
      <c r="K18" s="16" t="s">
        <v>226</v>
      </c>
      <c r="L18" s="7" t="n">
        <f aca="false">I18*J18</f>
        <v>1.4</v>
      </c>
      <c r="M18" s="7" t="n">
        <v>19.2</v>
      </c>
      <c r="N18" s="7" t="n">
        <v>5.95</v>
      </c>
      <c r="O18" s="6" t="s">
        <v>386</v>
      </c>
      <c r="P18" s="6"/>
      <c r="Q18" s="6" t="s">
        <v>798</v>
      </c>
      <c r="R18" s="16" t="s">
        <v>281</v>
      </c>
    </row>
    <row r="19" customFormat="false" ht="15" hidden="false" customHeight="false" outlineLevel="0" collapsed="false">
      <c r="B19" s="6" t="s">
        <v>789</v>
      </c>
      <c r="F19" s="6" t="s">
        <v>799</v>
      </c>
      <c r="G19" s="6" t="s">
        <v>225</v>
      </c>
      <c r="H19" s="6" t="n">
        <v>1</v>
      </c>
      <c r="I19" s="7" t="n">
        <v>1</v>
      </c>
      <c r="J19" s="7" t="n">
        <v>1</v>
      </c>
      <c r="K19" s="16" t="s">
        <v>226</v>
      </c>
      <c r="L19" s="7" t="n">
        <f aca="false">I19*J19</f>
        <v>1</v>
      </c>
      <c r="M19" s="7" t="n">
        <v>21.6</v>
      </c>
      <c r="N19" s="7" t="n">
        <v>8.2</v>
      </c>
      <c r="O19" s="6" t="s">
        <v>389</v>
      </c>
      <c r="P19" s="6"/>
      <c r="Q19" s="6" t="s">
        <v>800</v>
      </c>
      <c r="R19" s="16" t="s">
        <v>281</v>
      </c>
    </row>
    <row r="20" customFormat="false" ht="15" hidden="false" customHeight="false" outlineLevel="0" collapsed="false">
      <c r="B20" s="6" t="s">
        <v>789</v>
      </c>
      <c r="F20" s="6" t="s">
        <v>303</v>
      </c>
      <c r="G20" s="6" t="s">
        <v>237</v>
      </c>
      <c r="H20" s="6" t="n">
        <v>1</v>
      </c>
      <c r="I20" s="7" t="n">
        <v>0.6</v>
      </c>
      <c r="J20" s="7" t="n">
        <v>0.34</v>
      </c>
      <c r="K20" s="6" t="s">
        <v>220</v>
      </c>
      <c r="L20" s="7" t="n">
        <f aca="false">I20*J20</f>
        <v>0.204</v>
      </c>
      <c r="M20" s="7" t="n">
        <v>17.62</v>
      </c>
      <c r="N20" s="7" t="n">
        <v>7.28</v>
      </c>
      <c r="O20" s="6" t="s">
        <v>594</v>
      </c>
      <c r="P20" s="6" t="s">
        <v>239</v>
      </c>
      <c r="Q20" s="6" t="s">
        <v>801</v>
      </c>
    </row>
    <row r="21" customFormat="false" ht="32.8" hidden="false" customHeight="false" outlineLevel="0" collapsed="false">
      <c r="A21" s="12" t="s">
        <v>92</v>
      </c>
      <c r="B21" s="12"/>
      <c r="C21" s="12" t="s">
        <v>93</v>
      </c>
      <c r="D21" s="12"/>
      <c r="E21" s="12"/>
      <c r="F21" s="12" t="s">
        <v>207</v>
      </c>
      <c r="G21" s="12"/>
      <c r="H21" s="12"/>
      <c r="I21" s="13" t="n">
        <v>6.2</v>
      </c>
      <c r="J21" s="13" t="n">
        <v>4.3</v>
      </c>
      <c r="K21" s="12"/>
      <c r="L21" s="13" t="n">
        <f aca="false">I21*J21</f>
        <v>26.66</v>
      </c>
      <c r="M21" s="13" t="n">
        <v>17.7</v>
      </c>
      <c r="N21" s="13" t="n">
        <v>0.1</v>
      </c>
      <c r="O21" s="12" t="s">
        <v>802</v>
      </c>
      <c r="P21" s="12"/>
      <c r="Q21" s="12" t="s">
        <v>803</v>
      </c>
      <c r="R21" s="12"/>
      <c r="S21" s="13" t="n">
        <f aca="false">SUM(L22:L29)</f>
        <v>7.56</v>
      </c>
      <c r="T21" s="14" t="n">
        <f aca="false">S21/L21</f>
        <v>0.283570892723181</v>
      </c>
    </row>
    <row r="22" customFormat="false" ht="15" hidden="false" customHeight="false" outlineLevel="0" collapsed="false">
      <c r="A22" s="9"/>
      <c r="B22" s="9" t="s">
        <v>804</v>
      </c>
      <c r="C22" s="9" t="s">
        <v>805</v>
      </c>
      <c r="D22" s="9" t="n">
        <v>1</v>
      </c>
      <c r="E22" s="9" t="n">
        <v>1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 t="s">
        <v>806</v>
      </c>
      <c r="R22" s="9"/>
      <c r="S22" s="9"/>
      <c r="T22" s="9"/>
    </row>
    <row r="23" customFormat="false" ht="15" hidden="false" customHeight="false" outlineLevel="0" collapsed="false">
      <c r="B23" s="6" t="s">
        <v>804</v>
      </c>
      <c r="F23" s="6" t="s">
        <v>807</v>
      </c>
      <c r="G23" s="6" t="s">
        <v>213</v>
      </c>
      <c r="H23" s="6" t="n">
        <v>1</v>
      </c>
      <c r="I23" s="7" t="n">
        <v>1.2</v>
      </c>
      <c r="J23" s="7" t="n">
        <v>0.6</v>
      </c>
      <c r="K23" s="16" t="s">
        <v>226</v>
      </c>
      <c r="L23" s="7" t="n">
        <f aca="false">I23*J23</f>
        <v>0.72</v>
      </c>
      <c r="M23" s="7" t="n">
        <v>20.2</v>
      </c>
      <c r="N23" s="7" t="n">
        <v>1.6</v>
      </c>
      <c r="O23" s="6" t="s">
        <v>621</v>
      </c>
      <c r="P23" s="6"/>
      <c r="Q23" s="6" t="s">
        <v>808</v>
      </c>
      <c r="R23" s="16" t="s">
        <v>281</v>
      </c>
    </row>
    <row r="24" customFormat="false" ht="15" hidden="false" customHeight="false" outlineLevel="0" collapsed="false">
      <c r="B24" s="6" t="s">
        <v>804</v>
      </c>
      <c r="F24" s="6" t="s">
        <v>809</v>
      </c>
      <c r="G24" s="6" t="s">
        <v>225</v>
      </c>
      <c r="H24" s="6" t="n">
        <v>1</v>
      </c>
      <c r="I24" s="7" t="n">
        <v>1.5</v>
      </c>
      <c r="J24" s="7" t="n">
        <v>0.7</v>
      </c>
      <c r="K24" s="16" t="s">
        <v>226</v>
      </c>
      <c r="L24" s="7" t="n">
        <f aca="false">I24*J24</f>
        <v>1.05</v>
      </c>
      <c r="M24" s="7" t="n">
        <v>17.9</v>
      </c>
      <c r="N24" s="7" t="n">
        <v>0.65</v>
      </c>
      <c r="O24" s="6" t="s">
        <v>505</v>
      </c>
      <c r="P24" s="6"/>
      <c r="Q24" s="6" t="s">
        <v>810</v>
      </c>
      <c r="R24" s="16" t="s">
        <v>281</v>
      </c>
    </row>
    <row r="25" customFormat="false" ht="15" hidden="false" customHeight="false" outlineLevel="0" collapsed="false">
      <c r="B25" s="6" t="s">
        <v>804</v>
      </c>
      <c r="F25" s="6" t="s">
        <v>811</v>
      </c>
      <c r="G25" s="6" t="s">
        <v>225</v>
      </c>
      <c r="H25" s="6" t="n">
        <v>1</v>
      </c>
      <c r="I25" s="7" t="n">
        <v>0.9</v>
      </c>
      <c r="J25" s="7" t="n">
        <v>0.5</v>
      </c>
      <c r="K25" s="16" t="s">
        <v>226</v>
      </c>
      <c r="L25" s="7" t="n">
        <f aca="false">I25*J25</f>
        <v>0.45</v>
      </c>
      <c r="M25" s="7" t="n">
        <v>17.9</v>
      </c>
      <c r="N25" s="7" t="n">
        <v>1.55</v>
      </c>
      <c r="O25" s="6" t="s">
        <v>594</v>
      </c>
      <c r="P25" s="6"/>
      <c r="Q25" s="6" t="s">
        <v>812</v>
      </c>
      <c r="R25" s="16" t="s">
        <v>281</v>
      </c>
    </row>
    <row r="26" customFormat="false" ht="15" hidden="false" customHeight="false" outlineLevel="0" collapsed="false">
      <c r="B26" s="6" t="s">
        <v>804</v>
      </c>
      <c r="F26" s="6" t="s">
        <v>813</v>
      </c>
      <c r="G26" s="6" t="s">
        <v>225</v>
      </c>
      <c r="H26" s="6" t="n">
        <v>1</v>
      </c>
      <c r="I26" s="7" t="n">
        <v>0.9</v>
      </c>
      <c r="J26" s="7" t="n">
        <v>0.7</v>
      </c>
      <c r="K26" s="16" t="s">
        <v>226</v>
      </c>
      <c r="L26" s="7" t="n">
        <f aca="false">I26*J26</f>
        <v>0.63</v>
      </c>
      <c r="M26" s="7" t="n">
        <v>21.8</v>
      </c>
      <c r="N26" s="7" t="n">
        <v>1.5</v>
      </c>
      <c r="O26" s="6" t="s">
        <v>389</v>
      </c>
      <c r="P26" s="6"/>
      <c r="Q26" s="6" t="s">
        <v>814</v>
      </c>
      <c r="R26" s="16" t="s">
        <v>281</v>
      </c>
    </row>
    <row r="27" customFormat="false" ht="15" hidden="false" customHeight="false" outlineLevel="0" collapsed="false">
      <c r="B27" s="6" t="s">
        <v>804</v>
      </c>
      <c r="F27" s="6" t="s">
        <v>303</v>
      </c>
      <c r="G27" s="6" t="s">
        <v>237</v>
      </c>
      <c r="H27" s="6" t="n">
        <v>1</v>
      </c>
      <c r="I27" s="7" t="n">
        <v>1.2</v>
      </c>
      <c r="J27" s="7" t="n">
        <v>0.6</v>
      </c>
      <c r="K27" s="6" t="s">
        <v>220</v>
      </c>
      <c r="L27" s="7" t="n">
        <f aca="false">I27*J27</f>
        <v>0.72</v>
      </c>
      <c r="M27" s="7" t="n">
        <v>20.2</v>
      </c>
      <c r="N27" s="7" t="n">
        <v>2.3</v>
      </c>
      <c r="O27" s="6" t="s">
        <v>815</v>
      </c>
      <c r="P27" s="6" t="s">
        <v>816</v>
      </c>
      <c r="Q27" s="6" t="s">
        <v>817</v>
      </c>
    </row>
    <row r="28" customFormat="false" ht="15" hidden="false" customHeight="false" outlineLevel="0" collapsed="false">
      <c r="B28" s="6" t="s">
        <v>804</v>
      </c>
      <c r="F28" s="6" t="s">
        <v>818</v>
      </c>
      <c r="G28" s="6" t="s">
        <v>253</v>
      </c>
      <c r="H28" s="6" t="n">
        <v>2</v>
      </c>
      <c r="I28" s="7" t="n">
        <v>1.8</v>
      </c>
      <c r="J28" s="7" t="n">
        <v>1.15</v>
      </c>
      <c r="K28" s="16" t="s">
        <v>226</v>
      </c>
      <c r="L28" s="7" t="n">
        <f aca="false">I28*J28</f>
        <v>2.07</v>
      </c>
      <c r="M28" s="7" t="n">
        <v>17.85</v>
      </c>
      <c r="N28" s="7" t="n">
        <v>3.15</v>
      </c>
      <c r="O28" s="6" t="s">
        <v>537</v>
      </c>
      <c r="P28" s="6" t="s">
        <v>819</v>
      </c>
      <c r="Q28" s="6" t="s">
        <v>820</v>
      </c>
    </row>
    <row r="29" customFormat="false" ht="15" hidden="false" customHeight="false" outlineLevel="0" collapsed="false">
      <c r="B29" s="6" t="s">
        <v>804</v>
      </c>
      <c r="F29" s="6" t="s">
        <v>821</v>
      </c>
      <c r="G29" s="6" t="s">
        <v>219</v>
      </c>
      <c r="H29" s="6" t="n">
        <v>1</v>
      </c>
      <c r="I29" s="7" t="n">
        <v>1.6</v>
      </c>
      <c r="J29" s="7" t="n">
        <v>1.2</v>
      </c>
      <c r="K29" s="6" t="s">
        <v>220</v>
      </c>
      <c r="L29" s="7" t="n">
        <f aca="false">I29*J29</f>
        <v>1.92</v>
      </c>
      <c r="M29" s="7" t="n">
        <v>22.2</v>
      </c>
      <c r="N29" s="7" t="n">
        <v>3</v>
      </c>
      <c r="O29" s="6" t="s">
        <v>562</v>
      </c>
      <c r="P29" s="6" t="s">
        <v>822</v>
      </c>
      <c r="Q29" s="6" t="s">
        <v>823</v>
      </c>
    </row>
    <row r="30" customFormat="false" ht="22.35" hidden="false" customHeight="false" outlineLevel="0" collapsed="false">
      <c r="A30" s="12" t="s">
        <v>94</v>
      </c>
      <c r="B30" s="12"/>
      <c r="C30" s="12" t="s">
        <v>95</v>
      </c>
      <c r="D30" s="12"/>
      <c r="E30" s="12"/>
      <c r="F30" s="12" t="s">
        <v>207</v>
      </c>
      <c r="G30" s="12"/>
      <c r="H30" s="12"/>
      <c r="I30" s="13" t="n">
        <v>6.4</v>
      </c>
      <c r="J30" s="13" t="n">
        <v>4.3</v>
      </c>
      <c r="K30" s="12"/>
      <c r="L30" s="13" t="n">
        <f aca="false">I30*J30</f>
        <v>27.52</v>
      </c>
      <c r="M30" s="13" t="n">
        <v>25</v>
      </c>
      <c r="N30" s="13" t="n">
        <v>0.1</v>
      </c>
      <c r="O30" s="12" t="s">
        <v>824</v>
      </c>
      <c r="P30" s="12"/>
      <c r="Q30" s="12" t="s">
        <v>825</v>
      </c>
      <c r="R30" s="12"/>
      <c r="S30" s="13" t="n">
        <f aca="false">SUM(L31:L37)</f>
        <v>7.457</v>
      </c>
      <c r="T30" s="14" t="n">
        <f aca="false">S30/L30</f>
        <v>0.270966569767442</v>
      </c>
    </row>
    <row r="31" customFormat="false" ht="15" hidden="false" customHeight="false" outlineLevel="0" collapsed="false">
      <c r="A31" s="9"/>
      <c r="B31" s="9" t="s">
        <v>826</v>
      </c>
      <c r="C31" s="9" t="s">
        <v>827</v>
      </c>
      <c r="D31" s="9" t="n">
        <v>1</v>
      </c>
      <c r="E31" s="9" t="n">
        <v>1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 t="s">
        <v>828</v>
      </c>
      <c r="R31" s="9"/>
      <c r="S31" s="9"/>
      <c r="T31" s="9"/>
    </row>
    <row r="32" customFormat="false" ht="15" hidden="false" customHeight="false" outlineLevel="0" collapsed="false">
      <c r="B32" s="6" t="s">
        <v>826</v>
      </c>
      <c r="F32" s="6" t="s">
        <v>829</v>
      </c>
      <c r="G32" s="6" t="s">
        <v>213</v>
      </c>
      <c r="H32" s="6" t="n">
        <v>1</v>
      </c>
      <c r="I32" s="7" t="n">
        <v>2.3</v>
      </c>
      <c r="J32" s="7" t="n">
        <v>1.14</v>
      </c>
      <c r="K32" s="16" t="s">
        <v>226</v>
      </c>
      <c r="L32" s="7" t="n">
        <f aca="false">I32*J32</f>
        <v>2.622</v>
      </c>
      <c r="M32" s="7" t="n">
        <v>26.7</v>
      </c>
      <c r="N32" s="7" t="n">
        <v>1.45</v>
      </c>
      <c r="O32" s="6" t="s">
        <v>621</v>
      </c>
      <c r="P32" s="6"/>
      <c r="Q32" s="6" t="s">
        <v>830</v>
      </c>
      <c r="R32" s="16" t="s">
        <v>281</v>
      </c>
    </row>
    <row r="33" customFormat="false" ht="15" hidden="false" customHeight="false" outlineLevel="0" collapsed="false">
      <c r="B33" s="6" t="s">
        <v>826</v>
      </c>
      <c r="F33" s="6" t="s">
        <v>831</v>
      </c>
      <c r="G33" s="6" t="s">
        <v>225</v>
      </c>
      <c r="H33" s="6" t="n">
        <v>1</v>
      </c>
      <c r="I33" s="7" t="n">
        <v>1.5</v>
      </c>
      <c r="J33" s="7" t="n">
        <v>1.1</v>
      </c>
      <c r="K33" s="16" t="s">
        <v>226</v>
      </c>
      <c r="L33" s="7" t="n">
        <f aca="false">I33*J33</f>
        <v>1.65</v>
      </c>
      <c r="M33" s="7" t="n">
        <v>25.15</v>
      </c>
      <c r="N33" s="7" t="n">
        <v>1.45</v>
      </c>
      <c r="O33" s="6" t="s">
        <v>594</v>
      </c>
      <c r="P33" s="6"/>
      <c r="Q33" s="6" t="s">
        <v>832</v>
      </c>
      <c r="R33" s="16" t="s">
        <v>281</v>
      </c>
    </row>
    <row r="34" customFormat="false" ht="15" hidden="false" customHeight="false" outlineLevel="0" collapsed="false">
      <c r="B34" s="6" t="s">
        <v>826</v>
      </c>
      <c r="F34" s="6" t="s">
        <v>833</v>
      </c>
      <c r="G34" s="6" t="s">
        <v>225</v>
      </c>
      <c r="H34" s="6" t="n">
        <v>1</v>
      </c>
      <c r="I34" s="7" t="n">
        <v>1.3</v>
      </c>
      <c r="J34" s="7" t="n">
        <v>0.75</v>
      </c>
      <c r="K34" s="16" t="s">
        <v>226</v>
      </c>
      <c r="L34" s="7" t="n">
        <f aca="false">I34*J34</f>
        <v>0.975</v>
      </c>
      <c r="M34" s="7" t="n">
        <v>29.1</v>
      </c>
      <c r="N34" s="7" t="n">
        <v>1.45</v>
      </c>
      <c r="O34" s="6" t="s">
        <v>389</v>
      </c>
      <c r="P34" s="6"/>
      <c r="Q34" s="6" t="s">
        <v>834</v>
      </c>
      <c r="R34" s="16" t="s">
        <v>281</v>
      </c>
    </row>
    <row r="35" customFormat="false" ht="15" hidden="false" customHeight="false" outlineLevel="0" collapsed="false">
      <c r="B35" s="6" t="s">
        <v>826</v>
      </c>
      <c r="F35" s="6" t="s">
        <v>813</v>
      </c>
      <c r="G35" s="6" t="s">
        <v>225</v>
      </c>
      <c r="H35" s="6" t="n">
        <v>1</v>
      </c>
      <c r="I35" s="7" t="n">
        <v>0.9</v>
      </c>
      <c r="J35" s="7" t="n">
        <v>0.7</v>
      </c>
      <c r="K35" s="16" t="s">
        <v>226</v>
      </c>
      <c r="L35" s="7" t="n">
        <f aca="false">I35*J35</f>
        <v>0.63</v>
      </c>
      <c r="M35" s="7" t="n">
        <v>25.15</v>
      </c>
      <c r="N35" s="7" t="n">
        <v>2.7</v>
      </c>
      <c r="O35" s="6" t="s">
        <v>537</v>
      </c>
      <c r="P35" s="6"/>
      <c r="Q35" s="6" t="s">
        <v>835</v>
      </c>
      <c r="R35" s="16" t="s">
        <v>281</v>
      </c>
    </row>
    <row r="36" customFormat="false" ht="15" hidden="false" customHeight="false" outlineLevel="0" collapsed="false">
      <c r="B36" s="6" t="s">
        <v>826</v>
      </c>
      <c r="F36" s="6" t="s">
        <v>836</v>
      </c>
      <c r="G36" s="6" t="s">
        <v>225</v>
      </c>
      <c r="H36" s="6" t="n">
        <v>1</v>
      </c>
      <c r="I36" s="7" t="n">
        <v>1</v>
      </c>
      <c r="J36" s="7" t="n">
        <v>0.8</v>
      </c>
      <c r="K36" s="16" t="s">
        <v>226</v>
      </c>
      <c r="L36" s="7" t="n">
        <f aca="false">I36*J36</f>
        <v>0.8</v>
      </c>
      <c r="M36" s="7" t="n">
        <v>29.35</v>
      </c>
      <c r="N36" s="7" t="n">
        <v>3.15</v>
      </c>
      <c r="O36" s="6" t="s">
        <v>562</v>
      </c>
      <c r="P36" s="6"/>
      <c r="Q36" s="6" t="s">
        <v>837</v>
      </c>
    </row>
    <row r="37" customFormat="false" ht="15" hidden="false" customHeight="false" outlineLevel="0" collapsed="false">
      <c r="B37" s="6" t="s">
        <v>826</v>
      </c>
      <c r="F37" s="6" t="s">
        <v>303</v>
      </c>
      <c r="G37" s="6" t="s">
        <v>237</v>
      </c>
      <c r="H37" s="6" t="n">
        <v>1</v>
      </c>
      <c r="I37" s="7" t="n">
        <v>1.3</v>
      </c>
      <c r="J37" s="7" t="n">
        <v>0.6</v>
      </c>
      <c r="K37" s="6" t="s">
        <v>220</v>
      </c>
      <c r="L37" s="7" t="n">
        <f aca="false">I37*J37</f>
        <v>0.78</v>
      </c>
      <c r="M37" s="7" t="n">
        <v>26.9</v>
      </c>
      <c r="N37" s="7" t="n">
        <v>2.65</v>
      </c>
      <c r="O37" s="6" t="s">
        <v>838</v>
      </c>
      <c r="P37" s="6" t="s">
        <v>839</v>
      </c>
      <c r="Q37" s="6" t="s">
        <v>840</v>
      </c>
    </row>
    <row r="38" customFormat="false" ht="32.8" hidden="false" customHeight="false" outlineLevel="0" collapsed="false">
      <c r="A38" s="12" t="s">
        <v>96</v>
      </c>
      <c r="B38" s="12"/>
      <c r="C38" s="12" t="s">
        <v>97</v>
      </c>
      <c r="D38" s="12"/>
      <c r="E38" s="12"/>
      <c r="F38" s="12" t="s">
        <v>207</v>
      </c>
      <c r="G38" s="12"/>
      <c r="H38" s="12"/>
      <c r="I38" s="13" t="n">
        <v>4.4</v>
      </c>
      <c r="J38" s="13" t="n">
        <v>4.3</v>
      </c>
      <c r="K38" s="12"/>
      <c r="L38" s="13" t="n">
        <f aca="false">I38*J38</f>
        <v>18.92</v>
      </c>
      <c r="M38" s="13" t="n">
        <v>32.5</v>
      </c>
      <c r="N38" s="13" t="n">
        <v>0.1</v>
      </c>
      <c r="O38" s="12" t="s">
        <v>841</v>
      </c>
      <c r="P38" s="12"/>
      <c r="Q38" s="12" t="s">
        <v>842</v>
      </c>
      <c r="R38" s="12"/>
      <c r="S38" s="13" t="n">
        <f aca="false">SUM(L39:L47)</f>
        <v>3.673</v>
      </c>
      <c r="T38" s="14" t="n">
        <f aca="false">S38/L38</f>
        <v>0.194133192389006</v>
      </c>
    </row>
    <row r="39" customFormat="false" ht="15" hidden="false" customHeight="false" outlineLevel="0" collapsed="false">
      <c r="A39" s="9"/>
      <c r="B39" s="9" t="s">
        <v>843</v>
      </c>
      <c r="C39" s="9" t="s">
        <v>844</v>
      </c>
      <c r="D39" s="9" t="n">
        <v>1</v>
      </c>
      <c r="E39" s="9" t="n">
        <v>1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 t="s">
        <v>845</v>
      </c>
      <c r="R39" s="9"/>
      <c r="S39" s="9"/>
      <c r="T39" s="9"/>
    </row>
    <row r="40" customFormat="false" ht="15" hidden="false" customHeight="false" outlineLevel="0" collapsed="false">
      <c r="B40" s="6" t="s">
        <v>843</v>
      </c>
      <c r="F40" s="6" t="s">
        <v>846</v>
      </c>
      <c r="G40" s="6" t="s">
        <v>213</v>
      </c>
      <c r="H40" s="6" t="n">
        <v>1</v>
      </c>
      <c r="I40" s="7" t="n">
        <v>0.9</v>
      </c>
      <c r="J40" s="7" t="n">
        <v>0.6</v>
      </c>
      <c r="K40" s="16" t="s">
        <v>226</v>
      </c>
      <c r="L40" s="7" t="n">
        <f aca="false">I40*J40</f>
        <v>0.54</v>
      </c>
      <c r="M40" s="7" t="n">
        <v>34.25</v>
      </c>
      <c r="N40" s="7" t="n">
        <v>1.75</v>
      </c>
      <c r="O40" s="6" t="s">
        <v>621</v>
      </c>
      <c r="P40" s="6"/>
      <c r="Q40" s="6" t="s">
        <v>847</v>
      </c>
      <c r="R40" s="16" t="s">
        <v>281</v>
      </c>
    </row>
    <row r="41" customFormat="false" ht="15" hidden="false" customHeight="false" outlineLevel="0" collapsed="false">
      <c r="B41" s="6" t="s">
        <v>843</v>
      </c>
      <c r="F41" s="6" t="s">
        <v>848</v>
      </c>
      <c r="G41" s="6" t="s">
        <v>259</v>
      </c>
      <c r="H41" s="6" t="n">
        <v>1</v>
      </c>
      <c r="I41" s="7" t="n">
        <v>1.07</v>
      </c>
      <c r="J41" s="7" t="n">
        <v>0.7</v>
      </c>
      <c r="K41" s="16" t="s">
        <v>226</v>
      </c>
      <c r="L41" s="7" t="n">
        <f aca="false">I41*J41</f>
        <v>0.749</v>
      </c>
      <c r="M41" s="7" t="n">
        <v>32.65</v>
      </c>
      <c r="N41" s="7" t="n">
        <v>1.7</v>
      </c>
      <c r="O41" s="6" t="s">
        <v>594</v>
      </c>
      <c r="P41" s="6"/>
      <c r="Q41" s="6" t="s">
        <v>849</v>
      </c>
      <c r="R41" s="16" t="s">
        <v>263</v>
      </c>
    </row>
    <row r="42" customFormat="false" ht="15" hidden="false" customHeight="false" outlineLevel="0" collapsed="false">
      <c r="B42" s="6" t="s">
        <v>843</v>
      </c>
      <c r="F42" s="6" t="s">
        <v>850</v>
      </c>
      <c r="G42" s="6" t="s">
        <v>225</v>
      </c>
      <c r="H42" s="6" t="n">
        <v>1</v>
      </c>
      <c r="I42" s="7" t="n">
        <v>0.5</v>
      </c>
      <c r="J42" s="7" t="n">
        <v>0.5</v>
      </c>
      <c r="K42" s="16" t="s">
        <v>226</v>
      </c>
      <c r="L42" s="7" t="n">
        <f aca="false">I42*J42</f>
        <v>0.25</v>
      </c>
      <c r="M42" s="7" t="n">
        <v>35.35</v>
      </c>
      <c r="N42" s="7" t="n">
        <v>0.75</v>
      </c>
      <c r="O42" s="6" t="s">
        <v>355</v>
      </c>
      <c r="P42" s="6"/>
      <c r="Q42" s="6" t="s">
        <v>851</v>
      </c>
      <c r="R42" s="16" t="s">
        <v>281</v>
      </c>
    </row>
    <row r="43" customFormat="false" ht="15" hidden="false" customHeight="false" outlineLevel="0" collapsed="false">
      <c r="B43" s="6" t="s">
        <v>843</v>
      </c>
      <c r="F43" s="6" t="s">
        <v>624</v>
      </c>
      <c r="G43" s="6" t="s">
        <v>225</v>
      </c>
      <c r="H43" s="6" t="n">
        <v>1</v>
      </c>
      <c r="I43" s="7" t="n">
        <v>0.6</v>
      </c>
      <c r="J43" s="7" t="n">
        <v>0.6</v>
      </c>
      <c r="K43" s="16" t="s">
        <v>226</v>
      </c>
      <c r="L43" s="7" t="n">
        <f aca="false">I43*J43</f>
        <v>0.36</v>
      </c>
      <c r="M43" s="7" t="n">
        <v>35.35</v>
      </c>
      <c r="N43" s="7" t="n">
        <v>1.75</v>
      </c>
      <c r="O43" s="6" t="s">
        <v>389</v>
      </c>
      <c r="P43" s="6"/>
      <c r="Q43" s="6" t="s">
        <v>852</v>
      </c>
      <c r="R43" s="16" t="s">
        <v>281</v>
      </c>
    </row>
    <row r="44" customFormat="false" ht="15" hidden="false" customHeight="false" outlineLevel="0" collapsed="false">
      <c r="B44" s="6" t="s">
        <v>843</v>
      </c>
      <c r="F44" s="6" t="s">
        <v>811</v>
      </c>
      <c r="G44" s="6" t="s">
        <v>225</v>
      </c>
      <c r="H44" s="6" t="n">
        <v>1</v>
      </c>
      <c r="I44" s="7" t="n">
        <v>0.9</v>
      </c>
      <c r="J44" s="7" t="n">
        <v>0.5</v>
      </c>
      <c r="K44" s="16" t="s">
        <v>226</v>
      </c>
      <c r="L44" s="7" t="n">
        <f aca="false">I44*J44</f>
        <v>0.45</v>
      </c>
      <c r="M44" s="7" t="n">
        <v>32.65</v>
      </c>
      <c r="N44" s="7" t="n">
        <v>2.95</v>
      </c>
      <c r="O44" s="6" t="s">
        <v>537</v>
      </c>
      <c r="P44" s="6"/>
      <c r="Q44" s="6" t="s">
        <v>853</v>
      </c>
      <c r="R44" s="16" t="s">
        <v>281</v>
      </c>
    </row>
    <row r="45" customFormat="false" ht="15" hidden="false" customHeight="false" outlineLevel="0" collapsed="false">
      <c r="B45" s="6" t="s">
        <v>843</v>
      </c>
      <c r="F45" s="6" t="s">
        <v>854</v>
      </c>
      <c r="G45" s="6" t="s">
        <v>225</v>
      </c>
      <c r="H45" s="6" t="n">
        <v>1</v>
      </c>
      <c r="I45" s="7" t="n">
        <v>0.7</v>
      </c>
      <c r="J45" s="7" t="n">
        <v>0.5</v>
      </c>
      <c r="K45" s="16" t="s">
        <v>226</v>
      </c>
      <c r="L45" s="7" t="n">
        <f aca="false">I45*J45</f>
        <v>0.35</v>
      </c>
      <c r="M45" s="7" t="n">
        <v>32.65</v>
      </c>
      <c r="N45" s="7" t="n">
        <v>3.6</v>
      </c>
      <c r="O45" s="6" t="s">
        <v>537</v>
      </c>
      <c r="P45" s="6"/>
      <c r="Q45" s="6" t="s">
        <v>855</v>
      </c>
      <c r="R45" s="16" t="s">
        <v>281</v>
      </c>
    </row>
    <row r="46" customFormat="false" ht="15" hidden="false" customHeight="false" outlineLevel="0" collapsed="false">
      <c r="B46" s="6" t="s">
        <v>843</v>
      </c>
      <c r="F46" s="6" t="s">
        <v>303</v>
      </c>
      <c r="G46" s="6" t="s">
        <v>237</v>
      </c>
      <c r="H46" s="6" t="n">
        <v>1</v>
      </c>
      <c r="I46" s="7" t="n">
        <v>0.6</v>
      </c>
      <c r="J46" s="7" t="n">
        <v>0.34</v>
      </c>
      <c r="K46" s="6" t="s">
        <v>220</v>
      </c>
      <c r="L46" s="7" t="n">
        <f aca="false">I46*J46</f>
        <v>0.204</v>
      </c>
      <c r="M46" s="7" t="n">
        <v>34</v>
      </c>
      <c r="N46" s="7" t="n">
        <v>2.43</v>
      </c>
      <c r="O46" s="6" t="s">
        <v>838</v>
      </c>
      <c r="P46" s="6" t="s">
        <v>239</v>
      </c>
      <c r="Q46" s="6" t="s">
        <v>856</v>
      </c>
    </row>
    <row r="47" customFormat="false" ht="15" hidden="false" customHeight="false" outlineLevel="0" collapsed="false">
      <c r="B47" s="6" t="s">
        <v>843</v>
      </c>
      <c r="F47" s="6" t="s">
        <v>857</v>
      </c>
      <c r="G47" s="6" t="s">
        <v>253</v>
      </c>
      <c r="H47" s="6" t="n">
        <v>13</v>
      </c>
      <c r="I47" s="7" t="n">
        <v>1.1</v>
      </c>
      <c r="J47" s="7" t="n">
        <v>0.7</v>
      </c>
      <c r="K47" s="16" t="s">
        <v>226</v>
      </c>
      <c r="L47" s="7" t="n">
        <f aca="false">I47*J47</f>
        <v>0.77</v>
      </c>
      <c r="M47" s="7" t="n">
        <v>34.85</v>
      </c>
      <c r="N47" s="7" t="n">
        <v>2.75</v>
      </c>
      <c r="O47" s="6" t="s">
        <v>562</v>
      </c>
      <c r="P47" s="6" t="s">
        <v>858</v>
      </c>
      <c r="Q47" s="6" t="s">
        <v>859</v>
      </c>
      <c r="R47" s="16" t="s">
        <v>263</v>
      </c>
    </row>
    <row r="48" customFormat="false" ht="32.8" hidden="false" customHeight="false" outlineLevel="0" collapsed="false">
      <c r="A48" s="12" t="s">
        <v>98</v>
      </c>
      <c r="B48" s="12"/>
      <c r="C48" s="12" t="s">
        <v>99</v>
      </c>
      <c r="D48" s="12"/>
      <c r="E48" s="12"/>
      <c r="F48" s="12" t="s">
        <v>207</v>
      </c>
      <c r="G48" s="12"/>
      <c r="H48" s="12"/>
      <c r="I48" s="13" t="n">
        <v>5.6</v>
      </c>
      <c r="J48" s="13" t="n">
        <v>4.3</v>
      </c>
      <c r="K48" s="12"/>
      <c r="L48" s="13" t="n">
        <f aca="false">I48*J48</f>
        <v>24.08</v>
      </c>
      <c r="M48" s="13" t="n">
        <v>38</v>
      </c>
      <c r="N48" s="13" t="n">
        <v>0.1</v>
      </c>
      <c r="O48" s="12" t="s">
        <v>860</v>
      </c>
      <c r="P48" s="12"/>
      <c r="Q48" s="12" t="s">
        <v>861</v>
      </c>
      <c r="R48" s="12"/>
      <c r="S48" s="13" t="n">
        <f aca="false">SUM(L49:L59)</f>
        <v>8.629</v>
      </c>
      <c r="T48" s="14" t="n">
        <f aca="false">S48/L48</f>
        <v>0.358347176079734</v>
      </c>
    </row>
    <row r="49" customFormat="false" ht="15" hidden="false" customHeight="false" outlineLevel="0" collapsed="false">
      <c r="A49" s="9"/>
      <c r="B49" s="9" t="s">
        <v>862</v>
      </c>
      <c r="C49" s="9" t="s">
        <v>863</v>
      </c>
      <c r="D49" s="9" t="n">
        <v>1</v>
      </c>
      <c r="E49" s="9" t="n">
        <v>1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 t="s">
        <v>864</v>
      </c>
      <c r="R49" s="9"/>
      <c r="S49" s="9"/>
      <c r="T49" s="9"/>
    </row>
    <row r="50" customFormat="false" ht="15" hidden="false" customHeight="false" outlineLevel="0" collapsed="false">
      <c r="B50" s="6" t="s">
        <v>862</v>
      </c>
      <c r="F50" s="6" t="s">
        <v>807</v>
      </c>
      <c r="G50" s="6" t="s">
        <v>213</v>
      </c>
      <c r="H50" s="6" t="n">
        <v>1</v>
      </c>
      <c r="I50" s="7" t="n">
        <v>1.6</v>
      </c>
      <c r="J50" s="7" t="n">
        <v>0.8</v>
      </c>
      <c r="K50" s="16" t="s">
        <v>226</v>
      </c>
      <c r="L50" s="7" t="n">
        <f aca="false">I50*J50</f>
        <v>1.28</v>
      </c>
      <c r="M50" s="7" t="n">
        <v>39.7</v>
      </c>
      <c r="N50" s="7" t="n">
        <v>1.6</v>
      </c>
      <c r="O50" s="6" t="s">
        <v>621</v>
      </c>
      <c r="P50" s="6"/>
      <c r="Q50" s="6" t="s">
        <v>865</v>
      </c>
      <c r="R50" s="16" t="s">
        <v>281</v>
      </c>
    </row>
    <row r="51" customFormat="false" ht="15" hidden="false" customHeight="false" outlineLevel="0" collapsed="false">
      <c r="B51" s="6" t="s">
        <v>862</v>
      </c>
      <c r="F51" s="6" t="s">
        <v>811</v>
      </c>
      <c r="G51" s="6" t="s">
        <v>225</v>
      </c>
      <c r="H51" s="6" t="n">
        <v>1</v>
      </c>
      <c r="I51" s="7" t="n">
        <v>0.9</v>
      </c>
      <c r="J51" s="7" t="n">
        <v>0.5</v>
      </c>
      <c r="K51" s="16" t="s">
        <v>226</v>
      </c>
      <c r="L51" s="7" t="n">
        <f aca="false">I51*J51</f>
        <v>0.45</v>
      </c>
      <c r="M51" s="7" t="n">
        <v>39.7</v>
      </c>
      <c r="N51" s="7" t="n">
        <v>3.7</v>
      </c>
      <c r="O51" s="6" t="s">
        <v>476</v>
      </c>
      <c r="P51" s="6"/>
      <c r="Q51" s="6" t="s">
        <v>866</v>
      </c>
      <c r="R51" s="16" t="s">
        <v>281</v>
      </c>
    </row>
    <row r="52" customFormat="false" ht="15" hidden="false" customHeight="false" outlineLevel="0" collapsed="false">
      <c r="B52" s="6" t="s">
        <v>862</v>
      </c>
      <c r="F52" s="6" t="s">
        <v>867</v>
      </c>
      <c r="G52" s="6" t="s">
        <v>225</v>
      </c>
      <c r="H52" s="6" t="n">
        <v>1</v>
      </c>
      <c r="I52" s="7" t="n">
        <v>1.1</v>
      </c>
      <c r="J52" s="7" t="n">
        <v>0.65</v>
      </c>
      <c r="K52" s="16" t="s">
        <v>226</v>
      </c>
      <c r="L52" s="7" t="n">
        <f aca="false">I52*J52</f>
        <v>0.715</v>
      </c>
      <c r="M52" s="7" t="n">
        <v>38.15</v>
      </c>
      <c r="N52" s="7" t="n">
        <v>0.95</v>
      </c>
      <c r="O52" s="6" t="s">
        <v>594</v>
      </c>
      <c r="P52" s="6"/>
      <c r="Q52" s="6" t="s">
        <v>868</v>
      </c>
      <c r="R52" s="16" t="s">
        <v>281</v>
      </c>
    </row>
    <row r="53" customFormat="false" ht="15" hidden="false" customHeight="false" outlineLevel="0" collapsed="false">
      <c r="B53" s="6" t="s">
        <v>862</v>
      </c>
      <c r="F53" s="6" t="s">
        <v>869</v>
      </c>
      <c r="G53" s="6" t="s">
        <v>225</v>
      </c>
      <c r="H53" s="6" t="n">
        <v>1</v>
      </c>
      <c r="I53" s="7" t="n">
        <v>1.1</v>
      </c>
      <c r="J53" s="7" t="n">
        <v>0.65</v>
      </c>
      <c r="K53" s="16" t="s">
        <v>226</v>
      </c>
      <c r="L53" s="7" t="n">
        <f aca="false">I53*J53</f>
        <v>0.715</v>
      </c>
      <c r="M53" s="7" t="n">
        <v>38.15</v>
      </c>
      <c r="N53" s="7" t="n">
        <v>1.7</v>
      </c>
      <c r="O53" s="6" t="s">
        <v>594</v>
      </c>
      <c r="P53" s="6"/>
      <c r="Q53" s="6" t="s">
        <v>870</v>
      </c>
      <c r="R53" s="16" t="s">
        <v>281</v>
      </c>
    </row>
    <row r="54" customFormat="false" ht="15" hidden="false" customHeight="false" outlineLevel="0" collapsed="false">
      <c r="B54" s="6" t="s">
        <v>862</v>
      </c>
      <c r="F54" s="6" t="s">
        <v>871</v>
      </c>
      <c r="G54" s="6" t="s">
        <v>225</v>
      </c>
      <c r="H54" s="6" t="n">
        <v>1</v>
      </c>
      <c r="I54" s="7" t="n">
        <v>0.9</v>
      </c>
      <c r="J54" s="7" t="n">
        <v>0.7</v>
      </c>
      <c r="K54" s="16" t="s">
        <v>226</v>
      </c>
      <c r="L54" s="7" t="n">
        <f aca="false">I54*J54</f>
        <v>0.63</v>
      </c>
      <c r="M54" s="7" t="n">
        <v>38.15</v>
      </c>
      <c r="N54" s="7" t="n">
        <v>2.5</v>
      </c>
      <c r="O54" s="6" t="s">
        <v>594</v>
      </c>
      <c r="P54" s="6"/>
      <c r="Q54" s="6" t="s">
        <v>872</v>
      </c>
      <c r="R54" s="16" t="s">
        <v>281</v>
      </c>
    </row>
    <row r="55" customFormat="false" ht="15" hidden="false" customHeight="false" outlineLevel="0" collapsed="false">
      <c r="B55" s="6" t="s">
        <v>862</v>
      </c>
      <c r="F55" s="6" t="s">
        <v>854</v>
      </c>
      <c r="G55" s="6" t="s">
        <v>225</v>
      </c>
      <c r="H55" s="6" t="n">
        <v>1</v>
      </c>
      <c r="I55" s="7" t="n">
        <v>0.9</v>
      </c>
      <c r="J55" s="7" t="n">
        <v>0.55</v>
      </c>
      <c r="K55" s="16" t="s">
        <v>226</v>
      </c>
      <c r="L55" s="7" t="n">
        <f aca="false">I55*J55</f>
        <v>0.495</v>
      </c>
      <c r="M55" s="7" t="n">
        <v>38.15</v>
      </c>
      <c r="N55" s="7" t="n">
        <v>3.6</v>
      </c>
      <c r="O55" s="6" t="s">
        <v>537</v>
      </c>
      <c r="P55" s="6"/>
      <c r="Q55" s="6" t="s">
        <v>873</v>
      </c>
      <c r="R55" s="16" t="s">
        <v>281</v>
      </c>
    </row>
    <row r="56" customFormat="false" ht="15" hidden="false" customHeight="false" outlineLevel="0" collapsed="false">
      <c r="B56" s="6" t="s">
        <v>862</v>
      </c>
      <c r="F56" s="6" t="s">
        <v>874</v>
      </c>
      <c r="G56" s="6" t="s">
        <v>225</v>
      </c>
      <c r="H56" s="6" t="n">
        <v>1</v>
      </c>
      <c r="I56" s="7" t="n">
        <v>0.9</v>
      </c>
      <c r="J56" s="7" t="n">
        <v>0.7</v>
      </c>
      <c r="K56" s="16" t="s">
        <v>226</v>
      </c>
      <c r="L56" s="7" t="n">
        <f aca="false">I56*J56</f>
        <v>0.63</v>
      </c>
      <c r="M56" s="7" t="n">
        <v>41.85</v>
      </c>
      <c r="N56" s="7" t="n">
        <v>2.45</v>
      </c>
      <c r="O56" s="6" t="s">
        <v>389</v>
      </c>
      <c r="P56" s="6"/>
      <c r="Q56" s="6" t="s">
        <v>875</v>
      </c>
      <c r="R56" s="16" t="s">
        <v>281</v>
      </c>
    </row>
    <row r="57" customFormat="false" ht="15" hidden="false" customHeight="false" outlineLevel="0" collapsed="false">
      <c r="B57" s="6" t="s">
        <v>862</v>
      </c>
      <c r="F57" s="6" t="s">
        <v>836</v>
      </c>
      <c r="G57" s="6" t="s">
        <v>225</v>
      </c>
      <c r="H57" s="6" t="n">
        <v>1</v>
      </c>
      <c r="I57" s="7" t="n">
        <v>0.6</v>
      </c>
      <c r="J57" s="7" t="n">
        <v>0.6</v>
      </c>
      <c r="K57" s="16" t="s">
        <v>226</v>
      </c>
      <c r="L57" s="7" t="n">
        <f aca="false">I57*J57</f>
        <v>0.36</v>
      </c>
      <c r="M57" s="7" t="n">
        <v>42.9</v>
      </c>
      <c r="N57" s="7" t="n">
        <v>2.45</v>
      </c>
      <c r="O57" s="6" t="s">
        <v>389</v>
      </c>
      <c r="P57" s="6"/>
      <c r="Q57" s="6" t="s">
        <v>876</v>
      </c>
    </row>
    <row r="58" customFormat="false" ht="15" hidden="false" customHeight="false" outlineLevel="0" collapsed="false">
      <c r="B58" s="6" t="s">
        <v>862</v>
      </c>
      <c r="F58" s="6" t="s">
        <v>303</v>
      </c>
      <c r="G58" s="6" t="s">
        <v>237</v>
      </c>
      <c r="H58" s="6" t="n">
        <v>1</v>
      </c>
      <c r="I58" s="7" t="n">
        <v>0.6</v>
      </c>
      <c r="J58" s="7" t="n">
        <v>0.34</v>
      </c>
      <c r="K58" s="6" t="s">
        <v>220</v>
      </c>
      <c r="L58" s="7" t="n">
        <f aca="false">I58*J58</f>
        <v>0.204</v>
      </c>
      <c r="M58" s="7" t="n">
        <v>40.2</v>
      </c>
      <c r="N58" s="7" t="n">
        <v>2.6</v>
      </c>
      <c r="O58" s="6" t="s">
        <v>815</v>
      </c>
      <c r="P58" s="6" t="s">
        <v>239</v>
      </c>
      <c r="Q58" s="6" t="s">
        <v>877</v>
      </c>
    </row>
    <row r="59" customFormat="false" ht="22.35" hidden="false" customHeight="false" outlineLevel="0" collapsed="false">
      <c r="B59" s="6" t="s">
        <v>862</v>
      </c>
      <c r="F59" s="6" t="s">
        <v>878</v>
      </c>
      <c r="G59" s="6" t="s">
        <v>253</v>
      </c>
      <c r="H59" s="6" t="n">
        <v>11</v>
      </c>
      <c r="I59" s="7" t="n">
        <v>1.8</v>
      </c>
      <c r="J59" s="7" t="n">
        <v>1.75</v>
      </c>
      <c r="K59" s="16" t="s">
        <v>226</v>
      </c>
      <c r="L59" s="7" t="n">
        <f aca="false">I59*J59</f>
        <v>3.15</v>
      </c>
      <c r="M59" s="7" t="n">
        <v>41.75</v>
      </c>
      <c r="N59" s="7" t="n">
        <v>0.55</v>
      </c>
      <c r="O59" s="6" t="s">
        <v>355</v>
      </c>
      <c r="P59" s="6" t="s">
        <v>879</v>
      </c>
      <c r="Q59" s="6" t="s">
        <v>880</v>
      </c>
    </row>
    <row r="60" customFormat="false" ht="32.8" hidden="false" customHeight="false" outlineLevel="0" collapsed="false">
      <c r="A60" s="12" t="s">
        <v>100</v>
      </c>
      <c r="B60" s="12"/>
      <c r="C60" s="12" t="s">
        <v>101</v>
      </c>
      <c r="D60" s="12"/>
      <c r="E60" s="12"/>
      <c r="F60" s="12" t="s">
        <v>207</v>
      </c>
      <c r="G60" s="12"/>
      <c r="H60" s="12"/>
      <c r="I60" s="13" t="n">
        <v>5</v>
      </c>
      <c r="J60" s="13" t="n">
        <v>4.3</v>
      </c>
      <c r="K60" s="12"/>
      <c r="L60" s="13" t="n">
        <f aca="false">I60*J60</f>
        <v>21.5</v>
      </c>
      <c r="M60" s="13" t="n">
        <v>44.7</v>
      </c>
      <c r="N60" s="13" t="n">
        <v>0.1</v>
      </c>
      <c r="O60" s="12" t="s">
        <v>881</v>
      </c>
      <c r="P60" s="12"/>
      <c r="Q60" s="12" t="s">
        <v>882</v>
      </c>
      <c r="R60" s="12"/>
      <c r="S60" s="13" t="n">
        <f aca="false">SUM(L61:L73)</f>
        <v>7.6725</v>
      </c>
      <c r="T60" s="14" t="n">
        <f aca="false">S60/L60</f>
        <v>0.356860465116279</v>
      </c>
    </row>
    <row r="61" customFormat="false" ht="22.35" hidden="false" customHeight="false" outlineLevel="0" collapsed="false">
      <c r="A61" s="9"/>
      <c r="B61" s="9" t="s">
        <v>883</v>
      </c>
      <c r="C61" s="9" t="s">
        <v>884</v>
      </c>
      <c r="D61" s="9" t="n">
        <v>1</v>
      </c>
      <c r="E61" s="9" t="n">
        <v>1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 t="s">
        <v>885</v>
      </c>
      <c r="R61" s="9"/>
      <c r="S61" s="9"/>
      <c r="T61" s="9"/>
    </row>
    <row r="62" customFormat="false" ht="15" hidden="false" customHeight="false" outlineLevel="0" collapsed="false">
      <c r="B62" s="6" t="s">
        <v>883</v>
      </c>
      <c r="F62" s="6" t="s">
        <v>807</v>
      </c>
      <c r="G62" s="6" t="s">
        <v>213</v>
      </c>
      <c r="H62" s="6" t="n">
        <v>1</v>
      </c>
      <c r="I62" s="7" t="n">
        <v>1.6</v>
      </c>
      <c r="J62" s="7" t="n">
        <v>0.8</v>
      </c>
      <c r="K62" s="16" t="s">
        <v>226</v>
      </c>
      <c r="L62" s="7" t="n">
        <f aca="false">I62*J62</f>
        <v>1.28</v>
      </c>
      <c r="M62" s="7" t="n">
        <v>45.4</v>
      </c>
      <c r="N62" s="7" t="n">
        <v>1.2</v>
      </c>
      <c r="O62" s="6" t="s">
        <v>621</v>
      </c>
      <c r="P62" s="6"/>
      <c r="Q62" s="6" t="s">
        <v>886</v>
      </c>
      <c r="R62" s="16" t="s">
        <v>281</v>
      </c>
    </row>
    <row r="63" customFormat="false" ht="15" hidden="false" customHeight="false" outlineLevel="0" collapsed="false">
      <c r="B63" s="6" t="s">
        <v>883</v>
      </c>
      <c r="F63" s="6" t="s">
        <v>887</v>
      </c>
      <c r="G63" s="6" t="s">
        <v>225</v>
      </c>
      <c r="H63" s="6" t="n">
        <v>1</v>
      </c>
      <c r="I63" s="7" t="n">
        <v>0.9</v>
      </c>
      <c r="J63" s="7" t="n">
        <v>0.6</v>
      </c>
      <c r="K63" s="16" t="s">
        <v>226</v>
      </c>
      <c r="L63" s="7" t="n">
        <f aca="false">I63*J63</f>
        <v>0.54</v>
      </c>
      <c r="M63" s="7" t="n">
        <v>47.2</v>
      </c>
      <c r="N63" s="7" t="n">
        <v>1.2</v>
      </c>
      <c r="O63" s="6" t="s">
        <v>389</v>
      </c>
      <c r="P63" s="6"/>
      <c r="Q63" s="6" t="s">
        <v>888</v>
      </c>
      <c r="R63" s="16" t="s">
        <v>281</v>
      </c>
    </row>
    <row r="64" customFormat="false" ht="15" hidden="false" customHeight="false" outlineLevel="0" collapsed="false">
      <c r="B64" s="6" t="s">
        <v>883</v>
      </c>
      <c r="F64" s="6" t="s">
        <v>889</v>
      </c>
      <c r="G64" s="6" t="s">
        <v>225</v>
      </c>
      <c r="H64" s="6" t="n">
        <v>1</v>
      </c>
      <c r="I64" s="7" t="n">
        <v>0.5</v>
      </c>
      <c r="J64" s="7" t="n">
        <v>1.7</v>
      </c>
      <c r="K64" s="16" t="s">
        <v>226</v>
      </c>
      <c r="L64" s="7" t="n">
        <f aca="false">I64*J64</f>
        <v>0.85</v>
      </c>
      <c r="M64" s="7" t="n">
        <v>48.25</v>
      </c>
      <c r="N64" s="7" t="n">
        <v>0.5</v>
      </c>
      <c r="O64" s="6" t="s">
        <v>355</v>
      </c>
      <c r="P64" s="6"/>
      <c r="Q64" s="6" t="s">
        <v>890</v>
      </c>
      <c r="R64" s="16" t="s">
        <v>281</v>
      </c>
    </row>
    <row r="65" customFormat="false" ht="15" hidden="false" customHeight="false" outlineLevel="0" collapsed="false">
      <c r="B65" s="6" t="s">
        <v>883</v>
      </c>
      <c r="F65" s="6" t="s">
        <v>891</v>
      </c>
      <c r="G65" s="6" t="s">
        <v>225</v>
      </c>
      <c r="H65" s="6" t="n">
        <v>1</v>
      </c>
      <c r="I65" s="7" t="n">
        <v>0.5</v>
      </c>
      <c r="J65" s="7" t="n">
        <v>1.7</v>
      </c>
      <c r="K65" s="16" t="s">
        <v>226</v>
      </c>
      <c r="L65" s="7" t="n">
        <f aca="false">I65*J65</f>
        <v>0.85</v>
      </c>
      <c r="M65" s="7" t="n">
        <v>48.85</v>
      </c>
      <c r="N65" s="7" t="n">
        <v>0.5</v>
      </c>
      <c r="O65" s="6" t="s">
        <v>355</v>
      </c>
      <c r="P65" s="6"/>
      <c r="Q65" s="6" t="s">
        <v>892</v>
      </c>
      <c r="R65" s="16" t="s">
        <v>281</v>
      </c>
    </row>
    <row r="66" customFormat="false" ht="15" hidden="false" customHeight="false" outlineLevel="0" collapsed="false">
      <c r="B66" s="6" t="s">
        <v>883</v>
      </c>
      <c r="F66" s="6" t="s">
        <v>893</v>
      </c>
      <c r="G66" s="6" t="s">
        <v>225</v>
      </c>
      <c r="H66" s="6" t="n">
        <v>1</v>
      </c>
      <c r="I66" s="7" t="n">
        <v>1.1</v>
      </c>
      <c r="J66" s="7" t="n">
        <v>0.4</v>
      </c>
      <c r="K66" s="16" t="s">
        <v>226</v>
      </c>
      <c r="L66" s="7" t="n">
        <f aca="false">I66*J66</f>
        <v>0.44</v>
      </c>
      <c r="M66" s="7" t="n">
        <v>48.25</v>
      </c>
      <c r="N66" s="7" t="n">
        <v>2.3</v>
      </c>
      <c r="O66" s="6" t="s">
        <v>389</v>
      </c>
      <c r="P66" s="6"/>
      <c r="Q66" s="6" t="s">
        <v>894</v>
      </c>
      <c r="R66" s="16" t="s">
        <v>281</v>
      </c>
    </row>
    <row r="67" customFormat="false" ht="15" hidden="false" customHeight="false" outlineLevel="0" collapsed="false">
      <c r="B67" s="6" t="s">
        <v>883</v>
      </c>
      <c r="F67" s="6" t="s">
        <v>854</v>
      </c>
      <c r="G67" s="6" t="s">
        <v>225</v>
      </c>
      <c r="H67" s="6" t="n">
        <v>1</v>
      </c>
      <c r="I67" s="7" t="n">
        <v>1.05</v>
      </c>
      <c r="J67" s="7" t="n">
        <v>0.52</v>
      </c>
      <c r="K67" s="16" t="s">
        <v>226</v>
      </c>
      <c r="L67" s="7" t="n">
        <f aca="false">I67*J67</f>
        <v>0.546</v>
      </c>
      <c r="M67" s="7" t="n">
        <v>44.75</v>
      </c>
      <c r="N67" s="7" t="n">
        <v>3.7</v>
      </c>
      <c r="O67" s="6" t="s">
        <v>537</v>
      </c>
      <c r="P67" s="6"/>
      <c r="Q67" s="6" t="s">
        <v>895</v>
      </c>
      <c r="R67" s="16" t="s">
        <v>281</v>
      </c>
    </row>
    <row r="68" customFormat="false" ht="15" hidden="false" customHeight="false" outlineLevel="0" collapsed="false">
      <c r="B68" s="6" t="s">
        <v>883</v>
      </c>
      <c r="F68" s="6" t="s">
        <v>813</v>
      </c>
      <c r="G68" s="6" t="s">
        <v>225</v>
      </c>
      <c r="H68" s="6" t="n">
        <v>1</v>
      </c>
      <c r="I68" s="7" t="n">
        <v>0.9</v>
      </c>
      <c r="J68" s="7" t="n">
        <v>0.7</v>
      </c>
      <c r="K68" s="16" t="s">
        <v>226</v>
      </c>
      <c r="L68" s="7" t="n">
        <f aca="false">I68*J68</f>
        <v>0.63</v>
      </c>
      <c r="M68" s="7" t="n">
        <v>46.1</v>
      </c>
      <c r="N68" s="7" t="n">
        <v>3.45</v>
      </c>
      <c r="O68" s="6" t="s">
        <v>476</v>
      </c>
      <c r="P68" s="6"/>
      <c r="Q68" s="6" t="s">
        <v>896</v>
      </c>
      <c r="R68" s="16" t="s">
        <v>281</v>
      </c>
    </row>
    <row r="69" customFormat="false" ht="15" hidden="false" customHeight="false" outlineLevel="0" collapsed="false">
      <c r="B69" s="6" t="s">
        <v>883</v>
      </c>
      <c r="F69" s="6" t="s">
        <v>811</v>
      </c>
      <c r="G69" s="6" t="s">
        <v>225</v>
      </c>
      <c r="H69" s="6" t="n">
        <v>1</v>
      </c>
      <c r="I69" s="7" t="n">
        <v>0.9</v>
      </c>
      <c r="J69" s="7" t="n">
        <v>0.5</v>
      </c>
      <c r="K69" s="16" t="s">
        <v>226</v>
      </c>
      <c r="L69" s="7" t="n">
        <f aca="false">I69*J69</f>
        <v>0.45</v>
      </c>
      <c r="M69" s="7" t="n">
        <v>47.1</v>
      </c>
      <c r="N69" s="7" t="n">
        <v>3.65</v>
      </c>
      <c r="O69" s="6" t="s">
        <v>476</v>
      </c>
      <c r="P69" s="6"/>
      <c r="Q69" s="6" t="s">
        <v>897</v>
      </c>
      <c r="R69" s="16" t="s">
        <v>281</v>
      </c>
    </row>
    <row r="70" customFormat="false" ht="15" hidden="false" customHeight="false" outlineLevel="0" collapsed="false">
      <c r="B70" s="6" t="s">
        <v>883</v>
      </c>
      <c r="F70" s="6" t="s">
        <v>898</v>
      </c>
      <c r="G70" s="6" t="s">
        <v>219</v>
      </c>
      <c r="H70" s="6" t="n">
        <v>1</v>
      </c>
      <c r="I70" s="7" t="n">
        <v>1.1</v>
      </c>
      <c r="J70" s="7" t="n">
        <v>0.6</v>
      </c>
      <c r="K70" s="6" t="s">
        <v>220</v>
      </c>
      <c r="L70" s="7" t="n">
        <f aca="false">I70*J70</f>
        <v>0.66</v>
      </c>
      <c r="M70" s="7" t="n">
        <v>48.45</v>
      </c>
      <c r="N70" s="7" t="n">
        <v>2.85</v>
      </c>
      <c r="O70" s="6" t="s">
        <v>389</v>
      </c>
      <c r="P70" s="6"/>
      <c r="Q70" s="6" t="s">
        <v>899</v>
      </c>
    </row>
    <row r="71" customFormat="false" ht="15" hidden="false" customHeight="false" outlineLevel="0" collapsed="false">
      <c r="B71" s="6" t="s">
        <v>883</v>
      </c>
      <c r="F71" s="6" t="s">
        <v>900</v>
      </c>
      <c r="G71" s="6" t="s">
        <v>225</v>
      </c>
      <c r="H71" s="6" t="n">
        <v>1</v>
      </c>
      <c r="I71" s="7" t="n">
        <v>1.15</v>
      </c>
      <c r="J71" s="7" t="n">
        <v>0.75</v>
      </c>
      <c r="K71" s="16" t="s">
        <v>226</v>
      </c>
      <c r="L71" s="7" t="n">
        <f aca="false">I71*J71</f>
        <v>0.8625</v>
      </c>
      <c r="M71" s="7" t="n">
        <v>48.45</v>
      </c>
      <c r="N71" s="7" t="n">
        <v>3.55</v>
      </c>
      <c r="O71" s="6" t="s">
        <v>562</v>
      </c>
      <c r="P71" s="6"/>
      <c r="Q71" s="6" t="s">
        <v>901</v>
      </c>
      <c r="R71" s="16" t="s">
        <v>281</v>
      </c>
    </row>
    <row r="72" customFormat="false" ht="15" hidden="false" customHeight="false" outlineLevel="0" collapsed="false">
      <c r="B72" s="6" t="s">
        <v>883</v>
      </c>
      <c r="F72" s="6" t="s">
        <v>303</v>
      </c>
      <c r="G72" s="6" t="s">
        <v>237</v>
      </c>
      <c r="H72" s="6" t="n">
        <v>1</v>
      </c>
      <c r="I72" s="7" t="n">
        <v>0.6</v>
      </c>
      <c r="J72" s="7" t="n">
        <v>0.34</v>
      </c>
      <c r="K72" s="6" t="s">
        <v>220</v>
      </c>
      <c r="L72" s="7" t="n">
        <f aca="false">I72*J72</f>
        <v>0.204</v>
      </c>
      <c r="M72" s="7" t="n">
        <v>45.9</v>
      </c>
      <c r="N72" s="7" t="n">
        <v>2.2</v>
      </c>
      <c r="O72" s="6" t="s">
        <v>815</v>
      </c>
      <c r="P72" s="6" t="s">
        <v>239</v>
      </c>
      <c r="Q72" s="6" t="s">
        <v>902</v>
      </c>
    </row>
    <row r="73" customFormat="false" ht="22.35" hidden="false" customHeight="false" outlineLevel="0" collapsed="false">
      <c r="B73" s="6" t="s">
        <v>883</v>
      </c>
      <c r="F73" s="6" t="s">
        <v>903</v>
      </c>
      <c r="G73" s="6" t="s">
        <v>253</v>
      </c>
      <c r="H73" s="6" t="n">
        <v>1</v>
      </c>
      <c r="I73" s="7" t="n">
        <v>0.6</v>
      </c>
      <c r="J73" s="7" t="n">
        <v>0.6</v>
      </c>
      <c r="K73" s="16" t="s">
        <v>226</v>
      </c>
      <c r="L73" s="7" t="n">
        <f aca="false">I73*J73</f>
        <v>0.36</v>
      </c>
      <c r="M73" s="7" t="n">
        <v>44.75</v>
      </c>
      <c r="N73" s="7" t="n">
        <v>0.55</v>
      </c>
      <c r="O73" s="6" t="s">
        <v>505</v>
      </c>
      <c r="P73" s="6" t="s">
        <v>904</v>
      </c>
      <c r="Q73" s="6" t="s">
        <v>905</v>
      </c>
    </row>
    <row r="74" customFormat="false" ht="32.8" hidden="false" customHeight="false" outlineLevel="0" collapsed="false">
      <c r="A74" s="12" t="s">
        <v>102</v>
      </c>
      <c r="B74" s="12"/>
      <c r="C74" s="12" t="s">
        <v>103</v>
      </c>
      <c r="D74" s="12"/>
      <c r="E74" s="12"/>
      <c r="F74" s="12" t="s">
        <v>207</v>
      </c>
      <c r="G74" s="12"/>
      <c r="H74" s="12"/>
      <c r="I74" s="13" t="n">
        <v>7.9</v>
      </c>
      <c r="J74" s="13" t="n">
        <v>4.4</v>
      </c>
      <c r="K74" s="12"/>
      <c r="L74" s="13" t="n">
        <f aca="false">I74*J74</f>
        <v>34.76</v>
      </c>
      <c r="M74" s="13" t="n">
        <v>34.2</v>
      </c>
      <c r="N74" s="13" t="n">
        <v>5.5</v>
      </c>
      <c r="O74" s="12" t="s">
        <v>906</v>
      </c>
      <c r="P74" s="12"/>
      <c r="Q74" s="12" t="s">
        <v>907</v>
      </c>
      <c r="R74" s="12"/>
      <c r="S74" s="13" t="n">
        <f aca="false">SUM(L75:L85)</f>
        <v>13.284</v>
      </c>
      <c r="T74" s="14" t="n">
        <f aca="false">S74/L74</f>
        <v>0.382163406214039</v>
      </c>
    </row>
    <row r="75" customFormat="false" ht="15" hidden="false" customHeight="false" outlineLevel="0" collapsed="false">
      <c r="A75" s="9"/>
      <c r="B75" s="9" t="s">
        <v>908</v>
      </c>
      <c r="C75" s="9" t="s">
        <v>909</v>
      </c>
      <c r="D75" s="9" t="n">
        <v>1</v>
      </c>
      <c r="E75" s="9" t="n">
        <v>1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 t="s">
        <v>910</v>
      </c>
      <c r="R75" s="9"/>
      <c r="S75" s="9"/>
      <c r="T75" s="9"/>
    </row>
    <row r="76" customFormat="false" ht="15" hidden="false" customHeight="false" outlineLevel="0" collapsed="false">
      <c r="B76" s="6" t="s">
        <v>908</v>
      </c>
      <c r="F76" s="6" t="s">
        <v>911</v>
      </c>
      <c r="G76" s="6" t="s">
        <v>225</v>
      </c>
      <c r="H76" s="6" t="n">
        <v>1</v>
      </c>
      <c r="I76" s="7" t="n">
        <v>6.5</v>
      </c>
      <c r="J76" s="7" t="n">
        <v>0.6</v>
      </c>
      <c r="K76" s="16" t="s">
        <v>226</v>
      </c>
      <c r="L76" s="7" t="n">
        <f aca="false">I76*J76</f>
        <v>3.9</v>
      </c>
      <c r="M76" s="7" t="n">
        <v>35.4</v>
      </c>
      <c r="N76" s="7" t="n">
        <v>9.2</v>
      </c>
      <c r="O76" s="6" t="s">
        <v>457</v>
      </c>
      <c r="P76" s="6" t="s">
        <v>912</v>
      </c>
      <c r="Q76" s="6" t="s">
        <v>913</v>
      </c>
      <c r="R76" s="16" t="s">
        <v>914</v>
      </c>
    </row>
    <row r="77" customFormat="false" ht="15" hidden="false" customHeight="false" outlineLevel="0" collapsed="false">
      <c r="B77" s="6" t="s">
        <v>908</v>
      </c>
      <c r="F77" s="6" t="s">
        <v>915</v>
      </c>
      <c r="G77" s="6" t="s">
        <v>213</v>
      </c>
      <c r="H77" s="6" t="n">
        <v>1</v>
      </c>
      <c r="I77" s="7" t="n">
        <v>6.5</v>
      </c>
      <c r="J77" s="7" t="n">
        <v>0.6</v>
      </c>
      <c r="K77" s="16" t="s">
        <v>226</v>
      </c>
      <c r="L77" s="7" t="n">
        <f aca="false">I77*J77</f>
        <v>3.9</v>
      </c>
      <c r="M77" s="7" t="n">
        <v>35.4</v>
      </c>
      <c r="N77" s="7" t="n">
        <v>8.5</v>
      </c>
      <c r="O77" s="6" t="s">
        <v>476</v>
      </c>
      <c r="P77" s="6" t="s">
        <v>916</v>
      </c>
      <c r="Q77" s="6" t="s">
        <v>917</v>
      </c>
      <c r="R77" s="16" t="s">
        <v>281</v>
      </c>
    </row>
    <row r="78" customFormat="false" ht="15" hidden="false" customHeight="false" outlineLevel="0" collapsed="false">
      <c r="B78" s="6" t="s">
        <v>908</v>
      </c>
      <c r="F78" s="6" t="s">
        <v>918</v>
      </c>
      <c r="G78" s="6" t="s">
        <v>213</v>
      </c>
      <c r="H78" s="6" t="n">
        <v>1</v>
      </c>
      <c r="I78" s="7" t="n">
        <v>0.9</v>
      </c>
      <c r="J78" s="7" t="n">
        <v>0.7</v>
      </c>
      <c r="K78" s="16" t="s">
        <v>226</v>
      </c>
      <c r="L78" s="7" t="n">
        <f aca="false">I78*J78</f>
        <v>0.63</v>
      </c>
      <c r="M78" s="7" t="n">
        <v>34.4</v>
      </c>
      <c r="N78" s="7" t="n">
        <v>6</v>
      </c>
      <c r="O78" s="6" t="s">
        <v>505</v>
      </c>
      <c r="P78" s="6"/>
      <c r="Q78" s="6" t="s">
        <v>919</v>
      </c>
      <c r="R78" s="16" t="s">
        <v>281</v>
      </c>
    </row>
    <row r="79" customFormat="false" ht="15" hidden="false" customHeight="false" outlineLevel="0" collapsed="false">
      <c r="B79" s="6" t="s">
        <v>908</v>
      </c>
      <c r="F79" s="6" t="s">
        <v>920</v>
      </c>
      <c r="G79" s="6" t="s">
        <v>213</v>
      </c>
      <c r="H79" s="6" t="n">
        <v>1</v>
      </c>
      <c r="I79" s="7" t="n">
        <v>0.7</v>
      </c>
      <c r="J79" s="7" t="n">
        <v>0.6</v>
      </c>
      <c r="K79" s="16" t="s">
        <v>226</v>
      </c>
      <c r="L79" s="7" t="n">
        <f aca="false">I79*J79</f>
        <v>0.42</v>
      </c>
      <c r="M79" s="7" t="n">
        <v>35.45</v>
      </c>
      <c r="N79" s="7" t="n">
        <v>6</v>
      </c>
      <c r="O79" s="6" t="s">
        <v>386</v>
      </c>
      <c r="P79" s="6"/>
      <c r="Q79" s="6" t="s">
        <v>921</v>
      </c>
      <c r="R79" s="16" t="s">
        <v>281</v>
      </c>
    </row>
    <row r="80" customFormat="false" ht="15" hidden="false" customHeight="false" outlineLevel="0" collapsed="false">
      <c r="B80" s="6" t="s">
        <v>908</v>
      </c>
      <c r="F80" s="6" t="s">
        <v>922</v>
      </c>
      <c r="G80" s="6" t="s">
        <v>225</v>
      </c>
      <c r="H80" s="6" t="n">
        <v>1</v>
      </c>
      <c r="I80" s="7" t="n">
        <v>1.5</v>
      </c>
      <c r="J80" s="7" t="n">
        <v>0.7</v>
      </c>
      <c r="K80" s="16" t="s">
        <v>226</v>
      </c>
      <c r="L80" s="7" t="n">
        <f aca="false">I80*J80</f>
        <v>1.05</v>
      </c>
      <c r="M80" s="7" t="n">
        <v>37.3</v>
      </c>
      <c r="N80" s="7" t="n">
        <v>6</v>
      </c>
      <c r="O80" s="6" t="s">
        <v>386</v>
      </c>
      <c r="P80" s="6"/>
      <c r="Q80" s="6" t="s">
        <v>923</v>
      </c>
      <c r="R80" s="16" t="s">
        <v>281</v>
      </c>
    </row>
    <row r="81" customFormat="false" ht="15" hidden="false" customHeight="false" outlineLevel="0" collapsed="false">
      <c r="B81" s="6" t="s">
        <v>908</v>
      </c>
      <c r="F81" s="6" t="s">
        <v>924</v>
      </c>
      <c r="G81" s="6" t="s">
        <v>213</v>
      </c>
      <c r="H81" s="6" t="n">
        <v>1</v>
      </c>
      <c r="I81" s="7" t="n">
        <v>1.5</v>
      </c>
      <c r="J81" s="7" t="n">
        <v>0.6</v>
      </c>
      <c r="K81" s="16" t="s">
        <v>226</v>
      </c>
      <c r="L81" s="7" t="n">
        <f aca="false">I81*J81</f>
        <v>0.9</v>
      </c>
      <c r="M81" s="7" t="n">
        <v>37.3</v>
      </c>
      <c r="N81" s="7" t="n">
        <v>6.85</v>
      </c>
      <c r="O81" s="6" t="s">
        <v>621</v>
      </c>
      <c r="P81" s="6" t="s">
        <v>925</v>
      </c>
      <c r="Q81" s="6" t="s">
        <v>926</v>
      </c>
      <c r="R81" s="16" t="s">
        <v>281</v>
      </c>
    </row>
    <row r="82" customFormat="false" ht="15" hidden="false" customHeight="false" outlineLevel="0" collapsed="false">
      <c r="B82" s="6" t="s">
        <v>908</v>
      </c>
      <c r="F82" s="6" t="s">
        <v>927</v>
      </c>
      <c r="G82" s="6" t="s">
        <v>225</v>
      </c>
      <c r="H82" s="6" t="n">
        <v>1</v>
      </c>
      <c r="I82" s="7" t="n">
        <v>1.5</v>
      </c>
      <c r="J82" s="7" t="n">
        <v>0.6</v>
      </c>
      <c r="K82" s="16" t="s">
        <v>226</v>
      </c>
      <c r="L82" s="7" t="n">
        <f aca="false">I82*J82</f>
        <v>0.9</v>
      </c>
      <c r="M82" s="7" t="n">
        <v>39.1</v>
      </c>
      <c r="N82" s="7" t="n">
        <v>6.85</v>
      </c>
      <c r="O82" s="6" t="s">
        <v>621</v>
      </c>
      <c r="P82" s="6"/>
      <c r="Q82" s="6" t="s">
        <v>928</v>
      </c>
      <c r="R82" s="16" t="s">
        <v>281</v>
      </c>
    </row>
    <row r="83" customFormat="false" ht="15" hidden="false" customHeight="false" outlineLevel="0" collapsed="false">
      <c r="B83" s="6" t="s">
        <v>908</v>
      </c>
      <c r="F83" s="6" t="s">
        <v>929</v>
      </c>
      <c r="G83" s="6" t="s">
        <v>259</v>
      </c>
      <c r="H83" s="6" t="n">
        <v>1</v>
      </c>
      <c r="I83" s="7" t="n">
        <v>1.2</v>
      </c>
      <c r="J83" s="7" t="n">
        <v>0.6</v>
      </c>
      <c r="K83" s="16" t="s">
        <v>226</v>
      </c>
      <c r="L83" s="7" t="n">
        <f aca="false">I83*J83</f>
        <v>0.72</v>
      </c>
      <c r="M83" s="7" t="n">
        <v>40.8</v>
      </c>
      <c r="N83" s="7" t="n">
        <v>6</v>
      </c>
      <c r="O83" s="6" t="s">
        <v>355</v>
      </c>
      <c r="P83" s="6"/>
      <c r="Q83" s="6" t="s">
        <v>930</v>
      </c>
      <c r="R83" s="16" t="s">
        <v>263</v>
      </c>
    </row>
    <row r="84" customFormat="false" ht="15" hidden="false" customHeight="false" outlineLevel="0" collapsed="false">
      <c r="B84" s="6" t="s">
        <v>908</v>
      </c>
      <c r="F84" s="6" t="s">
        <v>931</v>
      </c>
      <c r="G84" s="6" t="s">
        <v>259</v>
      </c>
      <c r="H84" s="6" t="n">
        <v>1</v>
      </c>
      <c r="I84" s="7" t="n">
        <v>1.1</v>
      </c>
      <c r="J84" s="7" t="n">
        <v>0.6</v>
      </c>
      <c r="K84" s="16" t="s">
        <v>226</v>
      </c>
      <c r="L84" s="7" t="n">
        <f aca="false">I84*J84</f>
        <v>0.66</v>
      </c>
      <c r="M84" s="7" t="n">
        <v>40.8</v>
      </c>
      <c r="N84" s="7" t="n">
        <v>6.85</v>
      </c>
      <c r="O84" s="6" t="s">
        <v>389</v>
      </c>
      <c r="P84" s="6"/>
      <c r="Q84" s="6" t="s">
        <v>932</v>
      </c>
      <c r="R84" s="16" t="s">
        <v>263</v>
      </c>
    </row>
    <row r="85" customFormat="false" ht="15" hidden="false" customHeight="false" outlineLevel="0" collapsed="false">
      <c r="B85" s="6" t="s">
        <v>908</v>
      </c>
      <c r="F85" s="6" t="s">
        <v>303</v>
      </c>
      <c r="G85" s="6" t="s">
        <v>237</v>
      </c>
      <c r="H85" s="6" t="n">
        <v>1</v>
      </c>
      <c r="I85" s="7" t="n">
        <v>0.6</v>
      </c>
      <c r="J85" s="7" t="n">
        <v>0.34</v>
      </c>
      <c r="K85" s="6" t="s">
        <v>220</v>
      </c>
      <c r="L85" s="7" t="n">
        <f aca="false">I85*J85</f>
        <v>0.204</v>
      </c>
      <c r="M85" s="7" t="n">
        <v>38.88</v>
      </c>
      <c r="N85" s="7" t="n">
        <v>6.18</v>
      </c>
      <c r="O85" s="6" t="s">
        <v>621</v>
      </c>
      <c r="P85" s="6" t="s">
        <v>239</v>
      </c>
      <c r="Q85" s="6" t="s">
        <v>933</v>
      </c>
    </row>
    <row r="86" customFormat="false" ht="22.35" hidden="false" customHeight="false" outlineLevel="0" collapsed="false">
      <c r="A86" s="12" t="s">
        <v>104</v>
      </c>
      <c r="B86" s="12"/>
      <c r="C86" s="12" t="s">
        <v>105</v>
      </c>
      <c r="D86" s="12"/>
      <c r="E86" s="12"/>
      <c r="F86" s="12" t="s">
        <v>207</v>
      </c>
      <c r="G86" s="12"/>
      <c r="H86" s="12"/>
      <c r="I86" s="13" t="n">
        <v>1.5</v>
      </c>
      <c r="J86" s="13" t="n">
        <v>4.4</v>
      </c>
      <c r="K86" s="12"/>
      <c r="L86" s="13" t="n">
        <f aca="false">I86*J86</f>
        <v>6.6</v>
      </c>
      <c r="M86" s="13" t="n">
        <v>42.2</v>
      </c>
      <c r="N86" s="13" t="n">
        <v>5.5</v>
      </c>
      <c r="O86" s="12" t="s">
        <v>934</v>
      </c>
      <c r="P86" s="12"/>
      <c r="Q86" s="12" t="s">
        <v>935</v>
      </c>
      <c r="R86" s="12"/>
      <c r="S86" s="13" t="n">
        <f aca="false">SUM(L87:L89)</f>
        <v>2.378</v>
      </c>
      <c r="T86" s="14" t="n">
        <f aca="false">S86/L86</f>
        <v>0.36030303030303</v>
      </c>
    </row>
    <row r="87" customFormat="false" ht="15" hidden="false" customHeight="false" outlineLevel="0" collapsed="false">
      <c r="A87" s="9"/>
      <c r="B87" s="9" t="s">
        <v>908</v>
      </c>
      <c r="C87" s="9" t="s">
        <v>909</v>
      </c>
      <c r="D87" s="9" t="n">
        <v>1</v>
      </c>
      <c r="E87" s="9" t="n">
        <v>1</v>
      </c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 t="s">
        <v>910</v>
      </c>
      <c r="R87" s="9"/>
      <c r="S87" s="9"/>
      <c r="T87" s="9"/>
    </row>
    <row r="88" customFormat="false" ht="15" hidden="false" customHeight="false" outlineLevel="0" collapsed="false">
      <c r="B88" s="6" t="s">
        <v>908</v>
      </c>
      <c r="F88" s="6" t="s">
        <v>936</v>
      </c>
      <c r="G88" s="6" t="s">
        <v>253</v>
      </c>
      <c r="H88" s="6" t="n">
        <v>3</v>
      </c>
      <c r="I88" s="7" t="n">
        <v>0.52</v>
      </c>
      <c r="J88" s="7" t="n">
        <v>3.5</v>
      </c>
      <c r="K88" s="16" t="s">
        <v>226</v>
      </c>
      <c r="L88" s="7" t="n">
        <f aca="false">I88*J88</f>
        <v>1.82</v>
      </c>
      <c r="M88" s="7" t="n">
        <v>43.04</v>
      </c>
      <c r="N88" s="7" t="n">
        <v>6.25</v>
      </c>
      <c r="O88" s="6" t="s">
        <v>389</v>
      </c>
      <c r="P88" s="6" t="s">
        <v>937</v>
      </c>
      <c r="Q88" s="6" t="s">
        <v>938</v>
      </c>
      <c r="R88" s="16" t="s">
        <v>281</v>
      </c>
    </row>
    <row r="89" customFormat="false" ht="15" hidden="false" customHeight="false" outlineLevel="0" collapsed="false">
      <c r="B89" s="6" t="s">
        <v>908</v>
      </c>
      <c r="F89" s="6" t="s">
        <v>931</v>
      </c>
      <c r="G89" s="6" t="s">
        <v>259</v>
      </c>
      <c r="H89" s="6" t="n">
        <v>1</v>
      </c>
      <c r="I89" s="7" t="n">
        <v>0.62</v>
      </c>
      <c r="J89" s="7" t="n">
        <v>0.9</v>
      </c>
      <c r="K89" s="16" t="s">
        <v>226</v>
      </c>
      <c r="L89" s="7" t="n">
        <f aca="false">I89*J89</f>
        <v>0.558</v>
      </c>
      <c r="M89" s="7" t="n">
        <v>42.3</v>
      </c>
      <c r="N89" s="7" t="n">
        <v>7.95</v>
      </c>
      <c r="O89" s="6" t="s">
        <v>594</v>
      </c>
      <c r="P89" s="6"/>
      <c r="Q89" s="6" t="s">
        <v>939</v>
      </c>
      <c r="R89" s="16" t="s">
        <v>263</v>
      </c>
    </row>
    <row r="90" customFormat="false" ht="22.35" hidden="false" customHeight="false" outlineLevel="0" collapsed="false">
      <c r="A90" s="12" t="s">
        <v>62</v>
      </c>
      <c r="B90" s="12"/>
      <c r="C90" s="12" t="s">
        <v>106</v>
      </c>
      <c r="D90" s="12"/>
      <c r="E90" s="12"/>
      <c r="F90" s="12" t="s">
        <v>207</v>
      </c>
      <c r="G90" s="12"/>
      <c r="H90" s="12"/>
      <c r="I90" s="13" t="n">
        <v>10.2</v>
      </c>
      <c r="J90" s="13" t="n">
        <v>5.95</v>
      </c>
      <c r="K90" s="12"/>
      <c r="L90" s="13" t="n">
        <f aca="false">I90*J90</f>
        <v>60.69</v>
      </c>
      <c r="M90" s="13" t="n">
        <v>39.5</v>
      </c>
      <c r="N90" s="13" t="n">
        <v>-6</v>
      </c>
      <c r="O90" s="12" t="s">
        <v>940</v>
      </c>
      <c r="P90" s="12"/>
      <c r="Q90" s="12" t="s">
        <v>523</v>
      </c>
      <c r="R90" s="12"/>
      <c r="S90" s="13" t="n">
        <f aca="false">SUM(L91:L96)</f>
        <v>4.684</v>
      </c>
      <c r="T90" s="14" t="n">
        <f aca="false">S90/L90</f>
        <v>0.0771791069368924</v>
      </c>
    </row>
    <row r="91" customFormat="false" ht="22.35" hidden="false" customHeight="false" outlineLevel="0" collapsed="false">
      <c r="A91" s="9"/>
      <c r="B91" s="9" t="s">
        <v>941</v>
      </c>
      <c r="C91" s="9" t="s">
        <v>942</v>
      </c>
      <c r="D91" s="9" t="n">
        <v>1</v>
      </c>
      <c r="E91" s="9" t="n">
        <v>1</v>
      </c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 t="s">
        <v>943</v>
      </c>
      <c r="R91" s="9"/>
      <c r="S91" s="9"/>
      <c r="T91" s="9"/>
    </row>
    <row r="92" customFormat="false" ht="15" hidden="false" customHeight="false" outlineLevel="0" collapsed="false">
      <c r="B92" s="6" t="s">
        <v>941</v>
      </c>
      <c r="F92" s="6" t="s">
        <v>944</v>
      </c>
      <c r="G92" s="6" t="s">
        <v>213</v>
      </c>
      <c r="H92" s="6" t="n">
        <v>1</v>
      </c>
      <c r="I92" s="7" t="n">
        <v>1.2</v>
      </c>
      <c r="J92" s="7" t="n">
        <v>1.2</v>
      </c>
      <c r="K92" s="16" t="s">
        <v>226</v>
      </c>
      <c r="L92" s="7" t="n">
        <f aca="false">I92*J92</f>
        <v>1.44</v>
      </c>
      <c r="M92" s="7" t="n">
        <v>48.35</v>
      </c>
      <c r="N92" s="7" t="n">
        <v>-5.45</v>
      </c>
      <c r="O92" s="6" t="s">
        <v>945</v>
      </c>
      <c r="P92" s="6"/>
      <c r="Q92" s="6" t="s">
        <v>946</v>
      </c>
      <c r="R92" s="16" t="s">
        <v>281</v>
      </c>
    </row>
    <row r="93" customFormat="false" ht="15" hidden="false" customHeight="false" outlineLevel="0" collapsed="false">
      <c r="B93" s="6" t="s">
        <v>941</v>
      </c>
      <c r="F93" s="6" t="s">
        <v>947</v>
      </c>
      <c r="G93" s="6" t="s">
        <v>213</v>
      </c>
      <c r="H93" s="6" t="n">
        <v>1</v>
      </c>
      <c r="I93" s="7" t="n">
        <v>1.2</v>
      </c>
      <c r="J93" s="7" t="n">
        <v>1.2</v>
      </c>
      <c r="K93" s="16" t="s">
        <v>226</v>
      </c>
      <c r="L93" s="7" t="n">
        <f aca="false">I93*J93</f>
        <v>1.44</v>
      </c>
      <c r="M93" s="7" t="n">
        <v>48.35</v>
      </c>
      <c r="N93" s="7" t="n">
        <v>-4.05</v>
      </c>
      <c r="O93" s="6" t="s">
        <v>945</v>
      </c>
      <c r="P93" s="6"/>
      <c r="Q93" s="6" t="s">
        <v>948</v>
      </c>
      <c r="R93" s="16" t="s">
        <v>281</v>
      </c>
    </row>
    <row r="94" customFormat="false" ht="15" hidden="false" customHeight="false" outlineLevel="0" collapsed="false">
      <c r="B94" s="6" t="s">
        <v>941</v>
      </c>
      <c r="F94" s="6" t="s">
        <v>949</v>
      </c>
      <c r="G94" s="6" t="s">
        <v>237</v>
      </c>
      <c r="H94" s="6" t="n">
        <v>1</v>
      </c>
      <c r="I94" s="7" t="n">
        <v>0.6</v>
      </c>
      <c r="J94" s="7" t="n">
        <v>0.34</v>
      </c>
      <c r="K94" s="6" t="s">
        <v>220</v>
      </c>
      <c r="L94" s="7" t="n">
        <f aca="false">I94*J94</f>
        <v>0.204</v>
      </c>
      <c r="M94" s="7" t="n">
        <v>47.55</v>
      </c>
      <c r="N94" s="7" t="n">
        <v>-3.75</v>
      </c>
      <c r="O94" s="6" t="s">
        <v>950</v>
      </c>
      <c r="P94" s="6" t="s">
        <v>239</v>
      </c>
      <c r="Q94" s="6" t="s">
        <v>951</v>
      </c>
    </row>
    <row r="95" customFormat="false" ht="22.35" hidden="false" customHeight="false" outlineLevel="0" collapsed="false">
      <c r="A95" s="9"/>
      <c r="B95" s="9" t="s">
        <v>952</v>
      </c>
      <c r="C95" s="9" t="s">
        <v>953</v>
      </c>
      <c r="D95" s="9" t="n">
        <v>1</v>
      </c>
      <c r="E95" s="9" t="n">
        <v>1</v>
      </c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 t="s">
        <v>954</v>
      </c>
      <c r="R95" s="9"/>
      <c r="S95" s="9"/>
      <c r="T95" s="9"/>
    </row>
    <row r="96" customFormat="false" ht="15" hidden="false" customHeight="false" outlineLevel="0" collapsed="false">
      <c r="B96" s="6" t="s">
        <v>952</v>
      </c>
      <c r="F96" s="6" t="s">
        <v>955</v>
      </c>
      <c r="G96" s="6" t="s">
        <v>213</v>
      </c>
      <c r="H96" s="6" t="n">
        <v>1</v>
      </c>
      <c r="I96" s="7" t="n">
        <v>1.6</v>
      </c>
      <c r="J96" s="7" t="n">
        <v>1</v>
      </c>
      <c r="K96" s="16" t="s">
        <v>226</v>
      </c>
      <c r="L96" s="7" t="n">
        <f aca="false">I96*J96</f>
        <v>1.6</v>
      </c>
      <c r="M96" s="7" t="n">
        <v>46.5</v>
      </c>
      <c r="N96" s="7" t="n">
        <v>-5.45</v>
      </c>
      <c r="O96" s="6" t="s">
        <v>355</v>
      </c>
      <c r="P96" s="6"/>
      <c r="Q96" s="6" t="s">
        <v>956</v>
      </c>
      <c r="R96" s="16" t="s">
        <v>281</v>
      </c>
    </row>
    <row r="97" customFormat="false" ht="32.8" hidden="false" customHeight="false" outlineLevel="0" collapsed="false">
      <c r="A97" s="12" t="s">
        <v>107</v>
      </c>
      <c r="B97" s="12"/>
      <c r="C97" s="12" t="s">
        <v>108</v>
      </c>
      <c r="D97" s="12"/>
      <c r="E97" s="12"/>
      <c r="F97" s="12" t="s">
        <v>207</v>
      </c>
      <c r="G97" s="12"/>
      <c r="H97" s="12"/>
      <c r="I97" s="13" t="n">
        <v>6.3</v>
      </c>
      <c r="J97" s="13" t="n">
        <v>5.45</v>
      </c>
      <c r="K97" s="12"/>
      <c r="L97" s="13" t="n">
        <f aca="false">I97*J97</f>
        <v>34.335</v>
      </c>
      <c r="M97" s="13" t="n">
        <v>43.4</v>
      </c>
      <c r="N97" s="13" t="n">
        <v>-13</v>
      </c>
      <c r="O97" s="12" t="s">
        <v>957</v>
      </c>
      <c r="P97" s="12"/>
      <c r="Q97" s="12" t="s">
        <v>958</v>
      </c>
      <c r="R97" s="12"/>
      <c r="S97" s="13" t="n">
        <f aca="false">SUM(L98:L101)</f>
        <v>22.1688</v>
      </c>
      <c r="T97" s="14" t="n">
        <f aca="false">S97/L97</f>
        <v>0.645661861074705</v>
      </c>
    </row>
    <row r="98" customFormat="false" ht="15" hidden="false" customHeight="false" outlineLevel="0" collapsed="false">
      <c r="A98" s="9"/>
      <c r="B98" s="9" t="s">
        <v>959</v>
      </c>
      <c r="C98" s="9" t="s">
        <v>960</v>
      </c>
      <c r="D98" s="9" t="n">
        <v>1</v>
      </c>
      <c r="E98" s="9" t="n">
        <v>1</v>
      </c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 t="s">
        <v>961</v>
      </c>
      <c r="R98" s="9"/>
      <c r="S98" s="9"/>
      <c r="T98" s="9"/>
    </row>
    <row r="99" customFormat="false" ht="15" hidden="false" customHeight="false" outlineLevel="0" collapsed="false">
      <c r="B99" s="6" t="s">
        <v>959</v>
      </c>
      <c r="F99" s="6" t="s">
        <v>962</v>
      </c>
      <c r="G99" s="6" t="s">
        <v>219</v>
      </c>
      <c r="H99" s="6" t="n">
        <v>1</v>
      </c>
      <c r="I99" s="7" t="n">
        <v>6.2</v>
      </c>
      <c r="J99" s="7" t="n">
        <v>0.75</v>
      </c>
      <c r="K99" s="6" t="s">
        <v>220</v>
      </c>
      <c r="L99" s="7" t="n">
        <f aca="false">I99*J99</f>
        <v>4.65</v>
      </c>
      <c r="M99" s="7" t="n">
        <v>43.45</v>
      </c>
      <c r="N99" s="7" t="n">
        <v>-12.6</v>
      </c>
      <c r="O99" s="6" t="s">
        <v>334</v>
      </c>
      <c r="P99" s="6" t="s">
        <v>963</v>
      </c>
      <c r="Q99" s="6" t="s">
        <v>964</v>
      </c>
    </row>
    <row r="100" customFormat="false" ht="32.8" hidden="false" customHeight="false" outlineLevel="0" collapsed="false">
      <c r="B100" s="6" t="s">
        <v>959</v>
      </c>
      <c r="F100" s="6" t="s">
        <v>965</v>
      </c>
      <c r="G100" s="6" t="s">
        <v>253</v>
      </c>
      <c r="H100" s="6" t="n">
        <v>29</v>
      </c>
      <c r="I100" s="7" t="n">
        <v>5.72</v>
      </c>
      <c r="J100" s="7" t="n">
        <v>1.69</v>
      </c>
      <c r="K100" s="16" t="s">
        <v>226</v>
      </c>
      <c r="L100" s="7" t="n">
        <f aca="false">I100*J100</f>
        <v>9.6668</v>
      </c>
      <c r="M100" s="7" t="n">
        <v>43.59</v>
      </c>
      <c r="N100" s="7" t="n">
        <v>-11.61</v>
      </c>
      <c r="O100" s="6" t="s">
        <v>966</v>
      </c>
      <c r="P100" s="6" t="s">
        <v>967</v>
      </c>
      <c r="Q100" s="6" t="s">
        <v>968</v>
      </c>
    </row>
    <row r="101" customFormat="false" ht="15" hidden="false" customHeight="false" outlineLevel="0" collapsed="false">
      <c r="B101" s="6" t="s">
        <v>959</v>
      </c>
      <c r="F101" s="6" t="s">
        <v>969</v>
      </c>
      <c r="G101" s="6" t="s">
        <v>259</v>
      </c>
      <c r="H101" s="6" t="n">
        <v>18</v>
      </c>
      <c r="I101" s="7" t="n">
        <v>6.04</v>
      </c>
      <c r="J101" s="7" t="n">
        <v>1.3</v>
      </c>
      <c r="K101" s="16" t="s">
        <v>226</v>
      </c>
      <c r="L101" s="7" t="n">
        <f aca="false">I101*J101</f>
        <v>7.852</v>
      </c>
      <c r="M101" s="7" t="n">
        <v>43.55</v>
      </c>
      <c r="N101" s="7" t="n">
        <v>-8.95</v>
      </c>
      <c r="O101" s="6" t="s">
        <v>970</v>
      </c>
      <c r="P101" s="6" t="s">
        <v>971</v>
      </c>
      <c r="Q101" s="6" t="s">
        <v>972</v>
      </c>
      <c r="R101" s="16" t="s">
        <v>263</v>
      </c>
    </row>
    <row r="102" customFormat="false" ht="32.8" hidden="false" customHeight="false" outlineLevel="0" collapsed="false">
      <c r="A102" s="12" t="s">
        <v>109</v>
      </c>
      <c r="B102" s="12"/>
      <c r="C102" s="12" t="s">
        <v>110</v>
      </c>
      <c r="D102" s="12"/>
      <c r="E102" s="12"/>
      <c r="F102" s="12" t="s">
        <v>207</v>
      </c>
      <c r="G102" s="12"/>
      <c r="H102" s="12"/>
      <c r="I102" s="13" t="n">
        <v>9.9</v>
      </c>
      <c r="J102" s="13" t="n">
        <v>4.5</v>
      </c>
      <c r="K102" s="12"/>
      <c r="L102" s="13" t="n">
        <f aca="false">I102*J102</f>
        <v>44.55</v>
      </c>
      <c r="M102" s="13" t="n">
        <v>37.4</v>
      </c>
      <c r="N102" s="13" t="n">
        <v>-17.55</v>
      </c>
      <c r="O102" s="12" t="s">
        <v>973</v>
      </c>
      <c r="P102" s="12"/>
      <c r="Q102" s="12" t="s">
        <v>974</v>
      </c>
      <c r="R102" s="12"/>
      <c r="S102" s="13" t="n">
        <f aca="false">SUM(L103:L109)</f>
        <v>27.064</v>
      </c>
      <c r="T102" s="14" t="n">
        <f aca="false">S102/L102</f>
        <v>0.607497194163861</v>
      </c>
    </row>
    <row r="103" customFormat="false" ht="15" hidden="false" customHeight="false" outlineLevel="0" collapsed="false">
      <c r="A103" s="9"/>
      <c r="B103" s="9" t="s">
        <v>975</v>
      </c>
      <c r="C103" s="9" t="s">
        <v>976</v>
      </c>
      <c r="D103" s="9" t="n">
        <v>1</v>
      </c>
      <c r="E103" s="9" t="n">
        <v>1</v>
      </c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 t="s">
        <v>977</v>
      </c>
      <c r="R103" s="9"/>
      <c r="S103" s="9"/>
      <c r="T103" s="9"/>
    </row>
    <row r="104" customFormat="false" ht="22.35" hidden="false" customHeight="false" outlineLevel="0" collapsed="false">
      <c r="B104" s="6" t="s">
        <v>975</v>
      </c>
      <c r="F104" s="6" t="s">
        <v>978</v>
      </c>
      <c r="G104" s="6" t="s">
        <v>253</v>
      </c>
      <c r="H104" s="6" t="n">
        <v>29</v>
      </c>
      <c r="I104" s="7" t="n">
        <v>7.3</v>
      </c>
      <c r="J104" s="7" t="n">
        <v>2.45</v>
      </c>
      <c r="K104" s="16" t="s">
        <v>226</v>
      </c>
      <c r="L104" s="7" t="n">
        <f aca="false">I104*J104</f>
        <v>17.885</v>
      </c>
      <c r="M104" s="7" t="n">
        <v>37.5</v>
      </c>
      <c r="N104" s="7" t="n">
        <v>-17.15</v>
      </c>
      <c r="O104" s="6" t="s">
        <v>386</v>
      </c>
      <c r="P104" s="6" t="s">
        <v>979</v>
      </c>
      <c r="Q104" s="6" t="s">
        <v>980</v>
      </c>
    </row>
    <row r="105" customFormat="false" ht="15" hidden="false" customHeight="false" outlineLevel="0" collapsed="false">
      <c r="B105" s="6" t="s">
        <v>975</v>
      </c>
      <c r="F105" s="6" t="s">
        <v>981</v>
      </c>
      <c r="G105" s="6" t="s">
        <v>225</v>
      </c>
      <c r="H105" s="6" t="n">
        <v>1</v>
      </c>
      <c r="I105" s="7" t="n">
        <v>2</v>
      </c>
      <c r="J105" s="7" t="n">
        <v>0.8</v>
      </c>
      <c r="K105" s="16" t="s">
        <v>226</v>
      </c>
      <c r="L105" s="7" t="n">
        <f aca="false">I105*J105</f>
        <v>1.6</v>
      </c>
      <c r="M105" s="7" t="n">
        <v>45</v>
      </c>
      <c r="N105" s="7" t="n">
        <v>-17</v>
      </c>
      <c r="O105" s="6" t="s">
        <v>355</v>
      </c>
      <c r="P105" s="6"/>
      <c r="Q105" s="6" t="s">
        <v>982</v>
      </c>
      <c r="R105" s="16" t="s">
        <v>281</v>
      </c>
    </row>
    <row r="106" customFormat="false" ht="15" hidden="false" customHeight="false" outlineLevel="0" collapsed="false">
      <c r="B106" s="6" t="s">
        <v>975</v>
      </c>
      <c r="F106" s="6" t="s">
        <v>983</v>
      </c>
      <c r="G106" s="6" t="s">
        <v>225</v>
      </c>
      <c r="H106" s="6" t="n">
        <v>1</v>
      </c>
      <c r="I106" s="7" t="n">
        <v>2.4</v>
      </c>
      <c r="J106" s="7" t="n">
        <v>1.25</v>
      </c>
      <c r="K106" s="16" t="s">
        <v>226</v>
      </c>
      <c r="L106" s="7" t="n">
        <f aca="false">I106*J106</f>
        <v>3</v>
      </c>
      <c r="M106" s="7" t="n">
        <v>37.5</v>
      </c>
      <c r="N106" s="7" t="n">
        <v>-14.35</v>
      </c>
      <c r="O106" s="6" t="s">
        <v>537</v>
      </c>
      <c r="P106" s="6"/>
      <c r="Q106" s="6" t="s">
        <v>984</v>
      </c>
      <c r="R106" s="16" t="s">
        <v>281</v>
      </c>
    </row>
    <row r="107" customFormat="false" ht="15" hidden="false" customHeight="false" outlineLevel="0" collapsed="false">
      <c r="B107" s="6" t="s">
        <v>975</v>
      </c>
      <c r="F107" s="6" t="s">
        <v>985</v>
      </c>
      <c r="G107" s="6" t="s">
        <v>225</v>
      </c>
      <c r="H107" s="6" t="n">
        <v>1</v>
      </c>
      <c r="I107" s="7" t="n">
        <v>2.4</v>
      </c>
      <c r="J107" s="7" t="n">
        <v>1.25</v>
      </c>
      <c r="K107" s="16" t="s">
        <v>226</v>
      </c>
      <c r="L107" s="7" t="n">
        <f aca="false">I107*J107</f>
        <v>3</v>
      </c>
      <c r="M107" s="7" t="n">
        <v>40</v>
      </c>
      <c r="N107" s="7" t="n">
        <v>-14.35</v>
      </c>
      <c r="O107" s="6" t="s">
        <v>476</v>
      </c>
      <c r="P107" s="6"/>
      <c r="Q107" s="6" t="s">
        <v>986</v>
      </c>
      <c r="R107" s="16" t="s">
        <v>281</v>
      </c>
    </row>
    <row r="108" customFormat="false" ht="15" hidden="false" customHeight="false" outlineLevel="0" collapsed="false">
      <c r="B108" s="6" t="s">
        <v>975</v>
      </c>
      <c r="F108" s="6" t="s">
        <v>987</v>
      </c>
      <c r="G108" s="6" t="s">
        <v>225</v>
      </c>
      <c r="H108" s="6" t="n">
        <v>1</v>
      </c>
      <c r="I108" s="7" t="n">
        <v>1.1</v>
      </c>
      <c r="J108" s="7" t="n">
        <v>1.25</v>
      </c>
      <c r="K108" s="16" t="s">
        <v>226</v>
      </c>
      <c r="L108" s="7" t="n">
        <f aca="false">I108*J108</f>
        <v>1.375</v>
      </c>
      <c r="M108" s="7" t="n">
        <v>42.55</v>
      </c>
      <c r="N108" s="7" t="n">
        <v>-14.35</v>
      </c>
      <c r="O108" s="6" t="s">
        <v>476</v>
      </c>
      <c r="P108" s="6"/>
      <c r="Q108" s="6" t="s">
        <v>988</v>
      </c>
    </row>
    <row r="109" customFormat="false" ht="15" hidden="false" customHeight="false" outlineLevel="0" collapsed="false">
      <c r="B109" s="6" t="s">
        <v>975</v>
      </c>
      <c r="F109" s="6" t="s">
        <v>303</v>
      </c>
      <c r="G109" s="6" t="s">
        <v>237</v>
      </c>
      <c r="H109" s="6" t="n">
        <v>1</v>
      </c>
      <c r="I109" s="7" t="n">
        <v>0.6</v>
      </c>
      <c r="J109" s="7" t="n">
        <v>0.34</v>
      </c>
      <c r="K109" s="6" t="s">
        <v>220</v>
      </c>
      <c r="L109" s="7" t="n">
        <f aca="false">I109*J109</f>
        <v>0.204</v>
      </c>
      <c r="M109" s="7" t="n">
        <v>45.6</v>
      </c>
      <c r="N109" s="7" t="n">
        <v>-15.9</v>
      </c>
      <c r="O109" s="6" t="s">
        <v>389</v>
      </c>
      <c r="P109" s="6" t="s">
        <v>239</v>
      </c>
      <c r="Q109" s="6" t="s">
        <v>989</v>
      </c>
    </row>
    <row r="110" customFormat="false" ht="43.25" hidden="false" customHeight="false" outlineLevel="0" collapsed="false">
      <c r="A110" s="12" t="s">
        <v>111</v>
      </c>
      <c r="B110" s="12"/>
      <c r="C110" s="12" t="s">
        <v>112</v>
      </c>
      <c r="D110" s="12"/>
      <c r="E110" s="12"/>
      <c r="F110" s="12" t="s">
        <v>207</v>
      </c>
      <c r="G110" s="12"/>
      <c r="H110" s="12"/>
      <c r="I110" s="13" t="n">
        <v>12.3</v>
      </c>
      <c r="J110" s="13" t="n">
        <v>4.35</v>
      </c>
      <c r="K110" s="12"/>
      <c r="L110" s="13" t="n">
        <f aca="false">I110*J110</f>
        <v>53.505</v>
      </c>
      <c r="M110" s="13" t="n">
        <v>37.4</v>
      </c>
      <c r="N110" s="13" t="n">
        <v>-21.9</v>
      </c>
      <c r="O110" s="12" t="s">
        <v>990</v>
      </c>
      <c r="P110" s="12"/>
      <c r="Q110" s="12" t="s">
        <v>991</v>
      </c>
      <c r="R110" s="12"/>
      <c r="S110" s="13" t="n">
        <f aca="false">SUM(L111:L118)</f>
        <v>21.684</v>
      </c>
      <c r="T110" s="14" t="n">
        <f aca="false">S110/L110</f>
        <v>0.405270535463975</v>
      </c>
    </row>
    <row r="111" customFormat="false" ht="15" hidden="false" customHeight="false" outlineLevel="0" collapsed="false">
      <c r="A111" s="9"/>
      <c r="B111" s="9" t="s">
        <v>992</v>
      </c>
      <c r="C111" s="9" t="s">
        <v>993</v>
      </c>
      <c r="D111" s="9" t="n">
        <v>1</v>
      </c>
      <c r="E111" s="9" t="n">
        <v>1</v>
      </c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 t="s">
        <v>994</v>
      </c>
      <c r="R111" s="9"/>
      <c r="S111" s="9"/>
      <c r="T111" s="9"/>
    </row>
    <row r="112" customFormat="false" ht="15" hidden="false" customHeight="false" outlineLevel="0" collapsed="false">
      <c r="B112" s="6" t="s">
        <v>992</v>
      </c>
      <c r="F112" s="6" t="s">
        <v>995</v>
      </c>
      <c r="G112" s="6" t="s">
        <v>213</v>
      </c>
      <c r="H112" s="6" t="n">
        <v>1</v>
      </c>
      <c r="I112" s="7" t="n">
        <v>1.6</v>
      </c>
      <c r="J112" s="7" t="n">
        <v>1.15</v>
      </c>
      <c r="K112" s="16" t="s">
        <v>226</v>
      </c>
      <c r="L112" s="7" t="n">
        <f aca="false">I112*J112</f>
        <v>1.84</v>
      </c>
      <c r="M112" s="7" t="n">
        <v>37.5</v>
      </c>
      <c r="N112" s="7" t="n">
        <v>-21.85</v>
      </c>
      <c r="O112" s="6" t="s">
        <v>505</v>
      </c>
      <c r="P112" s="6" t="s">
        <v>642</v>
      </c>
      <c r="Q112" s="6" t="s">
        <v>996</v>
      </c>
      <c r="R112" s="16" t="s">
        <v>644</v>
      </c>
    </row>
    <row r="113" customFormat="false" ht="15" hidden="false" customHeight="false" outlineLevel="0" collapsed="false">
      <c r="B113" s="6" t="s">
        <v>992</v>
      </c>
      <c r="F113" s="6" t="s">
        <v>997</v>
      </c>
      <c r="G113" s="6" t="s">
        <v>213</v>
      </c>
      <c r="H113" s="6" t="n">
        <v>1</v>
      </c>
      <c r="I113" s="7" t="n">
        <v>3</v>
      </c>
      <c r="J113" s="7" t="n">
        <v>2.5</v>
      </c>
      <c r="K113" s="16" t="s">
        <v>226</v>
      </c>
      <c r="L113" s="7" t="n">
        <f aca="false">I113*J113</f>
        <v>7.5</v>
      </c>
      <c r="M113" s="7" t="n">
        <v>37.5</v>
      </c>
      <c r="N113" s="7" t="n">
        <v>-20.6</v>
      </c>
      <c r="O113" s="6" t="s">
        <v>537</v>
      </c>
      <c r="P113" s="6"/>
      <c r="Q113" s="6" t="s">
        <v>998</v>
      </c>
      <c r="R113" s="16" t="s">
        <v>281</v>
      </c>
    </row>
    <row r="114" customFormat="false" ht="15" hidden="false" customHeight="false" outlineLevel="0" collapsed="false">
      <c r="B114" s="6" t="s">
        <v>992</v>
      </c>
      <c r="F114" s="6" t="s">
        <v>303</v>
      </c>
      <c r="G114" s="6" t="s">
        <v>237</v>
      </c>
      <c r="H114" s="6" t="n">
        <v>1</v>
      </c>
      <c r="I114" s="7" t="n">
        <v>0.6</v>
      </c>
      <c r="J114" s="7" t="n">
        <v>0.34</v>
      </c>
      <c r="K114" s="6" t="s">
        <v>220</v>
      </c>
      <c r="L114" s="7" t="n">
        <f aca="false">I114*J114</f>
        <v>0.204</v>
      </c>
      <c r="M114" s="7" t="n">
        <v>41.6</v>
      </c>
      <c r="N114" s="7" t="n">
        <v>-18.25</v>
      </c>
      <c r="O114" s="6" t="s">
        <v>621</v>
      </c>
      <c r="P114" s="6" t="s">
        <v>239</v>
      </c>
      <c r="Q114" s="6" t="s">
        <v>999</v>
      </c>
    </row>
    <row r="115" customFormat="false" ht="22.35" hidden="false" customHeight="false" outlineLevel="0" collapsed="false">
      <c r="A115" s="9"/>
      <c r="B115" s="9" t="s">
        <v>1000</v>
      </c>
      <c r="C115" s="9" t="s">
        <v>1001</v>
      </c>
      <c r="D115" s="9" t="n">
        <v>1</v>
      </c>
      <c r="E115" s="9" t="n">
        <v>1</v>
      </c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 t="s">
        <v>1002</v>
      </c>
      <c r="R115" s="9"/>
      <c r="S115" s="9"/>
      <c r="T115" s="9"/>
    </row>
    <row r="116" customFormat="false" ht="22.35" hidden="false" customHeight="false" outlineLevel="0" collapsed="false">
      <c r="B116" s="6" t="s">
        <v>1000</v>
      </c>
      <c r="F116" s="6" t="s">
        <v>1003</v>
      </c>
      <c r="G116" s="6" t="s">
        <v>225</v>
      </c>
      <c r="H116" s="6" t="n">
        <v>1</v>
      </c>
      <c r="I116" s="7" t="n">
        <v>4</v>
      </c>
      <c r="J116" s="7" t="n">
        <v>0.45</v>
      </c>
      <c r="K116" s="16" t="s">
        <v>226</v>
      </c>
      <c r="L116" s="7" t="n">
        <f aca="false">I116*J116</f>
        <v>1.8</v>
      </c>
      <c r="M116" s="7" t="n">
        <v>39.3</v>
      </c>
      <c r="N116" s="7" t="n">
        <v>-21.75</v>
      </c>
      <c r="O116" s="6" t="s">
        <v>334</v>
      </c>
      <c r="P116" s="6"/>
      <c r="Q116" s="6" t="s">
        <v>1004</v>
      </c>
      <c r="R116" s="16" t="s">
        <v>281</v>
      </c>
    </row>
    <row r="117" customFormat="false" ht="22.35" hidden="false" customHeight="false" outlineLevel="0" collapsed="false">
      <c r="B117" s="6" t="s">
        <v>1000</v>
      </c>
      <c r="F117" s="6" t="s">
        <v>1005</v>
      </c>
      <c r="G117" s="6" t="s">
        <v>213</v>
      </c>
      <c r="H117" s="6" t="n">
        <v>1</v>
      </c>
      <c r="I117" s="7" t="n">
        <v>2.4</v>
      </c>
      <c r="J117" s="7" t="n">
        <v>2.2</v>
      </c>
      <c r="K117" s="16" t="s">
        <v>226</v>
      </c>
      <c r="L117" s="7" t="n">
        <f aca="false">I117*J117</f>
        <v>5.28</v>
      </c>
      <c r="M117" s="7" t="n">
        <v>41</v>
      </c>
      <c r="N117" s="7" t="n">
        <v>-20.6</v>
      </c>
      <c r="O117" s="6" t="s">
        <v>1006</v>
      </c>
      <c r="P117" s="6"/>
      <c r="Q117" s="6" t="s">
        <v>1007</v>
      </c>
      <c r="R117" s="16" t="s">
        <v>281</v>
      </c>
    </row>
    <row r="118" customFormat="false" ht="22.35" hidden="false" customHeight="false" outlineLevel="0" collapsed="false">
      <c r="B118" s="6" t="s">
        <v>1000</v>
      </c>
      <c r="F118" s="6" t="s">
        <v>1008</v>
      </c>
      <c r="G118" s="6" t="s">
        <v>213</v>
      </c>
      <c r="H118" s="6" t="n">
        <v>1</v>
      </c>
      <c r="I118" s="7" t="n">
        <v>2.3</v>
      </c>
      <c r="J118" s="7" t="n">
        <v>2.2</v>
      </c>
      <c r="K118" s="16" t="s">
        <v>226</v>
      </c>
      <c r="L118" s="7" t="n">
        <f aca="false">I118*J118</f>
        <v>5.06</v>
      </c>
      <c r="M118" s="7" t="n">
        <v>46.3</v>
      </c>
      <c r="N118" s="7" t="n">
        <v>-20.6</v>
      </c>
      <c r="O118" s="6" t="s">
        <v>562</v>
      </c>
      <c r="P118" s="6"/>
      <c r="Q118" s="6" t="s">
        <v>1009</v>
      </c>
      <c r="R118" s="16" t="s">
        <v>281</v>
      </c>
    </row>
    <row r="119" customFormat="false" ht="22.35" hidden="false" customHeight="false" outlineLevel="0" collapsed="false">
      <c r="A119" s="12" t="s">
        <v>113</v>
      </c>
      <c r="B119" s="12"/>
      <c r="C119" s="12" t="s">
        <v>114</v>
      </c>
      <c r="D119" s="12"/>
      <c r="E119" s="12"/>
      <c r="F119" s="12" t="s">
        <v>207</v>
      </c>
      <c r="G119" s="12"/>
      <c r="H119" s="12"/>
      <c r="I119" s="13" t="n">
        <v>2.4</v>
      </c>
      <c r="J119" s="13" t="n">
        <v>4.5</v>
      </c>
      <c r="K119" s="12"/>
      <c r="L119" s="13" t="n">
        <f aca="false">I119*J119</f>
        <v>10.8</v>
      </c>
      <c r="M119" s="13" t="n">
        <v>47.3</v>
      </c>
      <c r="N119" s="13" t="n">
        <v>-17.55</v>
      </c>
      <c r="O119" s="12" t="s">
        <v>1010</v>
      </c>
      <c r="P119" s="12"/>
      <c r="Q119" s="12" t="s">
        <v>1011</v>
      </c>
      <c r="R119" s="12"/>
      <c r="S119" s="13" t="n">
        <f aca="false">SUM(L120:L122)</f>
        <v>6.27</v>
      </c>
      <c r="T119" s="14" t="n">
        <f aca="false">S119/L119</f>
        <v>0.580555555555556</v>
      </c>
    </row>
    <row r="120" customFormat="false" ht="15" hidden="false" customHeight="false" outlineLevel="0" collapsed="false">
      <c r="A120" s="9"/>
      <c r="B120" s="9" t="s">
        <v>992</v>
      </c>
      <c r="C120" s="9" t="s">
        <v>993</v>
      </c>
      <c r="D120" s="9" t="n">
        <v>1</v>
      </c>
      <c r="E120" s="9" t="n">
        <v>1</v>
      </c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 t="s">
        <v>994</v>
      </c>
      <c r="R120" s="9"/>
      <c r="S120" s="9"/>
      <c r="T120" s="9"/>
    </row>
    <row r="121" customFormat="false" ht="15" hidden="false" customHeight="false" outlineLevel="0" collapsed="false">
      <c r="B121" s="6" t="s">
        <v>992</v>
      </c>
      <c r="F121" s="6" t="s">
        <v>1012</v>
      </c>
      <c r="G121" s="6" t="s">
        <v>225</v>
      </c>
      <c r="H121" s="6" t="n">
        <v>1</v>
      </c>
      <c r="I121" s="7" t="n">
        <v>0.95</v>
      </c>
      <c r="J121" s="7" t="n">
        <v>3.3</v>
      </c>
      <c r="K121" s="16" t="s">
        <v>226</v>
      </c>
      <c r="L121" s="7" t="n">
        <f aca="false">I121*J121</f>
        <v>3.135</v>
      </c>
      <c r="M121" s="7" t="n">
        <v>47.45</v>
      </c>
      <c r="N121" s="7" t="n">
        <v>-17.05</v>
      </c>
      <c r="O121" s="6" t="s">
        <v>594</v>
      </c>
      <c r="P121" s="6"/>
      <c r="Q121" s="6" t="s">
        <v>1013</v>
      </c>
      <c r="R121" s="16" t="s">
        <v>1014</v>
      </c>
    </row>
    <row r="122" customFormat="false" ht="15" hidden="false" customHeight="false" outlineLevel="0" collapsed="false">
      <c r="B122" s="6" t="s">
        <v>992</v>
      </c>
      <c r="F122" s="6" t="s">
        <v>1015</v>
      </c>
      <c r="G122" s="6" t="s">
        <v>225</v>
      </c>
      <c r="H122" s="6" t="n">
        <v>1</v>
      </c>
      <c r="I122" s="7" t="n">
        <v>0.95</v>
      </c>
      <c r="J122" s="7" t="n">
        <v>3.3</v>
      </c>
      <c r="K122" s="16" t="s">
        <v>226</v>
      </c>
      <c r="L122" s="7" t="n">
        <f aca="false">I122*J122</f>
        <v>3.135</v>
      </c>
      <c r="M122" s="7" t="n">
        <v>48.55</v>
      </c>
      <c r="N122" s="7" t="n">
        <v>-17.05</v>
      </c>
      <c r="O122" s="6" t="s">
        <v>1016</v>
      </c>
      <c r="P122" s="6"/>
      <c r="Q122" s="6" t="s">
        <v>1017</v>
      </c>
      <c r="R122" s="16" t="s">
        <v>281</v>
      </c>
    </row>
    <row r="123" customFormat="false" ht="22.35" hidden="false" customHeight="false" outlineLevel="0" collapsed="false">
      <c r="A123" s="12" t="s">
        <v>115</v>
      </c>
      <c r="B123" s="12"/>
      <c r="C123" s="12" t="s">
        <v>116</v>
      </c>
      <c r="D123" s="12"/>
      <c r="E123" s="12"/>
      <c r="F123" s="12" t="s">
        <v>207</v>
      </c>
      <c r="G123" s="12"/>
      <c r="H123" s="12"/>
      <c r="I123" s="13" t="n">
        <v>9.4</v>
      </c>
      <c r="J123" s="13" t="n">
        <v>2</v>
      </c>
      <c r="K123" s="12"/>
      <c r="L123" s="13" t="n">
        <f aca="false">I123*J123</f>
        <v>18.8</v>
      </c>
      <c r="M123" s="13" t="n">
        <v>40.3</v>
      </c>
      <c r="N123" s="13" t="n">
        <v>-25.4</v>
      </c>
      <c r="O123" s="12" t="s">
        <v>1018</v>
      </c>
      <c r="P123" s="12"/>
      <c r="Q123" s="12" t="s">
        <v>1019</v>
      </c>
      <c r="R123" s="12"/>
      <c r="S123" s="13" t="n">
        <f aca="false">SUM(L124:L127)</f>
        <v>10.4425</v>
      </c>
      <c r="T123" s="14" t="n">
        <f aca="false">S123/L123</f>
        <v>0.555452127659575</v>
      </c>
    </row>
    <row r="124" customFormat="false" ht="22.35" hidden="false" customHeight="false" outlineLevel="0" collapsed="false">
      <c r="A124" s="9"/>
      <c r="B124" s="9" t="s">
        <v>1000</v>
      </c>
      <c r="C124" s="9" t="s">
        <v>1001</v>
      </c>
      <c r="D124" s="9" t="n">
        <v>1</v>
      </c>
      <c r="E124" s="9" t="n">
        <v>1</v>
      </c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 t="s">
        <v>1002</v>
      </c>
      <c r="R124" s="9"/>
      <c r="S124" s="9"/>
      <c r="T124" s="9"/>
    </row>
    <row r="125" customFormat="false" ht="22.35" hidden="false" customHeight="false" outlineLevel="0" collapsed="false">
      <c r="B125" s="6" t="s">
        <v>1000</v>
      </c>
      <c r="F125" s="6" t="s">
        <v>1020</v>
      </c>
      <c r="G125" s="6" t="s">
        <v>225</v>
      </c>
      <c r="H125" s="6" t="n">
        <v>4</v>
      </c>
      <c r="I125" s="7" t="n">
        <v>4.85</v>
      </c>
      <c r="J125" s="7" t="n">
        <v>1.1</v>
      </c>
      <c r="K125" s="16" t="s">
        <v>226</v>
      </c>
      <c r="L125" s="7" t="n">
        <f aca="false">I125*J125</f>
        <v>5.335</v>
      </c>
      <c r="M125" s="7" t="n">
        <v>40.45</v>
      </c>
      <c r="N125" s="7" t="n">
        <v>-24.55</v>
      </c>
      <c r="O125" s="6" t="s">
        <v>594</v>
      </c>
      <c r="P125" s="6" t="s">
        <v>1021</v>
      </c>
      <c r="Q125" s="6" t="s">
        <v>1022</v>
      </c>
      <c r="R125" s="16" t="s">
        <v>281</v>
      </c>
    </row>
    <row r="126" customFormat="false" ht="22.35" hidden="false" customHeight="false" outlineLevel="0" collapsed="false">
      <c r="B126" s="6" t="s">
        <v>1000</v>
      </c>
      <c r="F126" s="6" t="s">
        <v>1023</v>
      </c>
      <c r="G126" s="6" t="s">
        <v>225</v>
      </c>
      <c r="H126" s="6" t="n">
        <v>2</v>
      </c>
      <c r="I126" s="7" t="n">
        <v>2.6</v>
      </c>
      <c r="J126" s="7" t="n">
        <v>1.1</v>
      </c>
      <c r="K126" s="16" t="s">
        <v>226</v>
      </c>
      <c r="L126" s="7" t="n">
        <f aca="false">I126*J126</f>
        <v>2.86</v>
      </c>
      <c r="M126" s="7" t="n">
        <v>47</v>
      </c>
      <c r="N126" s="7" t="n">
        <v>-24.55</v>
      </c>
      <c r="O126" s="6" t="s">
        <v>389</v>
      </c>
      <c r="P126" s="6" t="s">
        <v>1024</v>
      </c>
      <c r="Q126" s="6" t="s">
        <v>1025</v>
      </c>
      <c r="R126" s="16" t="s">
        <v>281</v>
      </c>
    </row>
    <row r="127" customFormat="false" ht="22.35" hidden="false" customHeight="false" outlineLevel="0" collapsed="false">
      <c r="B127" s="6" t="s">
        <v>1000</v>
      </c>
      <c r="F127" s="6" t="s">
        <v>1026</v>
      </c>
      <c r="G127" s="6" t="s">
        <v>219</v>
      </c>
      <c r="H127" s="6" t="n">
        <v>1</v>
      </c>
      <c r="I127" s="7" t="n">
        <v>1.45</v>
      </c>
      <c r="J127" s="7" t="n">
        <v>1.55</v>
      </c>
      <c r="K127" s="6" t="s">
        <v>220</v>
      </c>
      <c r="L127" s="7" t="n">
        <f aca="false">I127*J127</f>
        <v>2.2475</v>
      </c>
      <c r="M127" s="7" t="n">
        <v>45.45</v>
      </c>
      <c r="N127" s="7" t="n">
        <v>-25</v>
      </c>
      <c r="O127" s="6" t="s">
        <v>621</v>
      </c>
      <c r="P127" s="6" t="s">
        <v>1027</v>
      </c>
      <c r="Q127" s="6" t="s">
        <v>1028</v>
      </c>
    </row>
    <row r="128" customFormat="false" ht="22.35" hidden="false" customHeight="false" outlineLevel="0" collapsed="false">
      <c r="A128" s="12" t="s">
        <v>117</v>
      </c>
      <c r="B128" s="12"/>
      <c r="C128" s="12" t="s">
        <v>118</v>
      </c>
      <c r="D128" s="12"/>
      <c r="E128" s="12"/>
      <c r="F128" s="12" t="s">
        <v>207</v>
      </c>
      <c r="G128" s="12"/>
      <c r="H128" s="12"/>
      <c r="I128" s="13" t="n">
        <v>9.4</v>
      </c>
      <c r="J128" s="13" t="n">
        <v>1.8</v>
      </c>
      <c r="K128" s="12"/>
      <c r="L128" s="13" t="n">
        <f aca="false">I128*J128</f>
        <v>16.92</v>
      </c>
      <c r="M128" s="13" t="n">
        <v>40.3</v>
      </c>
      <c r="N128" s="13" t="n">
        <v>-28.4</v>
      </c>
      <c r="O128" s="12" t="s">
        <v>1029</v>
      </c>
      <c r="P128" s="12"/>
      <c r="Q128" s="12" t="s">
        <v>1030</v>
      </c>
      <c r="R128" s="12"/>
      <c r="S128" s="13" t="n">
        <f aca="false">SUM(L129:L137)</f>
        <v>7.5415</v>
      </c>
      <c r="T128" s="14" t="n">
        <f aca="false">S128/L128</f>
        <v>0.445715130023641</v>
      </c>
    </row>
    <row r="129" customFormat="false" ht="22.35" hidden="false" customHeight="false" outlineLevel="0" collapsed="false">
      <c r="A129" s="9"/>
      <c r="B129" s="9" t="s">
        <v>1000</v>
      </c>
      <c r="C129" s="9" t="s">
        <v>1001</v>
      </c>
      <c r="D129" s="9" t="n">
        <v>1</v>
      </c>
      <c r="E129" s="9" t="n">
        <v>1</v>
      </c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 t="s">
        <v>1002</v>
      </c>
      <c r="R129" s="9"/>
      <c r="S129" s="9"/>
      <c r="T129" s="9"/>
    </row>
    <row r="130" customFormat="false" ht="22.35" hidden="false" customHeight="false" outlineLevel="0" collapsed="false">
      <c r="B130" s="6" t="s">
        <v>1000</v>
      </c>
      <c r="F130" s="6" t="s">
        <v>1031</v>
      </c>
      <c r="G130" s="6" t="s">
        <v>213</v>
      </c>
      <c r="H130" s="6" t="n">
        <v>1</v>
      </c>
      <c r="I130" s="7" t="n">
        <v>1.1</v>
      </c>
      <c r="J130" s="7" t="n">
        <v>0.6</v>
      </c>
      <c r="K130" s="16" t="s">
        <v>226</v>
      </c>
      <c r="L130" s="7" t="n">
        <f aca="false">I130*J130</f>
        <v>0.66</v>
      </c>
      <c r="M130" s="7" t="n">
        <v>41.6</v>
      </c>
      <c r="N130" s="7" t="n">
        <v>-27.75</v>
      </c>
      <c r="O130" s="6" t="s">
        <v>594</v>
      </c>
      <c r="P130" s="6"/>
      <c r="Q130" s="6" t="s">
        <v>1032</v>
      </c>
      <c r="R130" s="16" t="s">
        <v>281</v>
      </c>
    </row>
    <row r="131" customFormat="false" ht="22.35" hidden="false" customHeight="false" outlineLevel="0" collapsed="false">
      <c r="B131" s="6" t="s">
        <v>1000</v>
      </c>
      <c r="F131" s="6" t="s">
        <v>1033</v>
      </c>
      <c r="G131" s="6" t="s">
        <v>259</v>
      </c>
      <c r="H131" s="6" t="n">
        <v>1</v>
      </c>
      <c r="I131" s="7" t="n">
        <v>1</v>
      </c>
      <c r="J131" s="7" t="n">
        <v>0.8</v>
      </c>
      <c r="K131" s="16" t="s">
        <v>226</v>
      </c>
      <c r="L131" s="7" t="n">
        <f aca="false">I131*J131</f>
        <v>0.8</v>
      </c>
      <c r="M131" s="7" t="n">
        <v>42.85</v>
      </c>
      <c r="N131" s="7" t="n">
        <v>-27.9</v>
      </c>
      <c r="O131" s="6" t="s">
        <v>594</v>
      </c>
      <c r="P131" s="6"/>
      <c r="Q131" s="6" t="s">
        <v>1034</v>
      </c>
      <c r="R131" s="16" t="s">
        <v>263</v>
      </c>
    </row>
    <row r="132" customFormat="false" ht="22.35" hidden="false" customHeight="false" outlineLevel="0" collapsed="false">
      <c r="B132" s="6" t="s">
        <v>1000</v>
      </c>
      <c r="F132" s="6" t="s">
        <v>1035</v>
      </c>
      <c r="G132" s="6" t="s">
        <v>259</v>
      </c>
      <c r="H132" s="6" t="n">
        <v>1</v>
      </c>
      <c r="I132" s="7" t="n">
        <v>1</v>
      </c>
      <c r="J132" s="7" t="n">
        <v>0.8</v>
      </c>
      <c r="K132" s="16" t="s">
        <v>226</v>
      </c>
      <c r="L132" s="7" t="n">
        <f aca="false">I132*J132</f>
        <v>0.8</v>
      </c>
      <c r="M132" s="7" t="n">
        <v>40.45</v>
      </c>
      <c r="N132" s="7" t="n">
        <v>-27.9</v>
      </c>
      <c r="O132" s="6" t="s">
        <v>1036</v>
      </c>
      <c r="P132" s="6"/>
      <c r="Q132" s="6" t="s">
        <v>1037</v>
      </c>
      <c r="R132" s="16" t="s">
        <v>263</v>
      </c>
    </row>
    <row r="133" customFormat="false" ht="22.35" hidden="false" customHeight="false" outlineLevel="0" collapsed="false">
      <c r="B133" s="6" t="s">
        <v>1000</v>
      </c>
      <c r="F133" s="6" t="s">
        <v>303</v>
      </c>
      <c r="G133" s="6" t="s">
        <v>237</v>
      </c>
      <c r="H133" s="6" t="n">
        <v>1</v>
      </c>
      <c r="I133" s="7" t="n">
        <v>0.6</v>
      </c>
      <c r="J133" s="7" t="n">
        <v>0.34</v>
      </c>
      <c r="K133" s="6" t="s">
        <v>220</v>
      </c>
      <c r="L133" s="7" t="n">
        <f aca="false">I133*J133</f>
        <v>0.204</v>
      </c>
      <c r="M133" s="7" t="n">
        <v>41.85</v>
      </c>
      <c r="N133" s="7" t="n">
        <v>-27.05</v>
      </c>
      <c r="O133" s="6" t="s">
        <v>665</v>
      </c>
      <c r="P133" s="6" t="s">
        <v>239</v>
      </c>
      <c r="Q133" s="6" t="s">
        <v>1038</v>
      </c>
    </row>
    <row r="134" customFormat="false" ht="22.35" hidden="false" customHeight="false" outlineLevel="0" collapsed="false">
      <c r="B134" s="6" t="s">
        <v>1000</v>
      </c>
      <c r="F134" s="6" t="s">
        <v>1039</v>
      </c>
      <c r="G134" s="6" t="s">
        <v>219</v>
      </c>
      <c r="H134" s="6" t="n">
        <v>1</v>
      </c>
      <c r="I134" s="7" t="n">
        <v>1.45</v>
      </c>
      <c r="J134" s="7" t="n">
        <v>1.35</v>
      </c>
      <c r="K134" s="6" t="s">
        <v>220</v>
      </c>
      <c r="L134" s="7" t="n">
        <f aca="false">I134*J134</f>
        <v>1.9575</v>
      </c>
      <c r="M134" s="7" t="n">
        <v>45.45</v>
      </c>
      <c r="N134" s="7" t="n">
        <v>-28</v>
      </c>
      <c r="O134" s="6" t="s">
        <v>621</v>
      </c>
      <c r="P134" s="6"/>
      <c r="Q134" s="6" t="s">
        <v>1040</v>
      </c>
    </row>
    <row r="135" customFormat="false" ht="22.35" hidden="false" customHeight="false" outlineLevel="0" collapsed="false">
      <c r="A135" s="9"/>
      <c r="B135" s="9" t="s">
        <v>1041</v>
      </c>
      <c r="C135" s="9" t="s">
        <v>1042</v>
      </c>
      <c r="D135" s="9" t="n">
        <v>1</v>
      </c>
      <c r="E135" s="9" t="n">
        <v>1</v>
      </c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 t="s">
        <v>1043</v>
      </c>
      <c r="R135" s="9"/>
      <c r="S135" s="9"/>
      <c r="T135" s="9"/>
    </row>
    <row r="136" customFormat="false" ht="15" hidden="false" customHeight="false" outlineLevel="0" collapsed="false">
      <c r="B136" s="6" t="s">
        <v>1041</v>
      </c>
      <c r="F136" s="6" t="s">
        <v>1044</v>
      </c>
      <c r="G136" s="6" t="s">
        <v>225</v>
      </c>
      <c r="H136" s="6" t="n">
        <v>1</v>
      </c>
      <c r="I136" s="7" t="n">
        <v>2.6</v>
      </c>
      <c r="J136" s="7" t="n">
        <v>0.55</v>
      </c>
      <c r="K136" s="16" t="s">
        <v>226</v>
      </c>
      <c r="L136" s="7" t="n">
        <f aca="false">I136*J136</f>
        <v>1.43</v>
      </c>
      <c r="M136" s="7" t="n">
        <v>47</v>
      </c>
      <c r="N136" s="7" t="n">
        <v>-28</v>
      </c>
      <c r="O136" s="6" t="s">
        <v>389</v>
      </c>
      <c r="P136" s="6"/>
      <c r="Q136" s="6" t="s">
        <v>1045</v>
      </c>
      <c r="R136" s="16" t="s">
        <v>281</v>
      </c>
    </row>
    <row r="137" customFormat="false" ht="15" hidden="false" customHeight="false" outlineLevel="0" collapsed="false">
      <c r="B137" s="6" t="s">
        <v>1041</v>
      </c>
      <c r="F137" s="6" t="s">
        <v>836</v>
      </c>
      <c r="G137" s="6" t="s">
        <v>225</v>
      </c>
      <c r="H137" s="6" t="n">
        <v>1</v>
      </c>
      <c r="I137" s="7" t="n">
        <v>2.6</v>
      </c>
      <c r="J137" s="7" t="n">
        <v>0.65</v>
      </c>
      <c r="K137" s="16" t="s">
        <v>226</v>
      </c>
      <c r="L137" s="7" t="n">
        <f aca="false">I137*J137</f>
        <v>1.69</v>
      </c>
      <c r="M137" s="7" t="n">
        <v>47</v>
      </c>
      <c r="N137" s="7" t="n">
        <v>-27.35</v>
      </c>
      <c r="O137" s="6" t="s">
        <v>389</v>
      </c>
      <c r="P137" s="6"/>
      <c r="Q137" s="6" t="s">
        <v>1046</v>
      </c>
    </row>
    <row r="138" customFormat="false" ht="32.8" hidden="false" customHeight="false" outlineLevel="0" collapsed="false">
      <c r="A138" s="12" t="s">
        <v>119</v>
      </c>
      <c r="B138" s="12"/>
      <c r="C138" s="12" t="s">
        <v>120</v>
      </c>
      <c r="D138" s="12"/>
      <c r="E138" s="12"/>
      <c r="F138" s="12" t="s">
        <v>207</v>
      </c>
      <c r="G138" s="12"/>
      <c r="H138" s="12"/>
      <c r="I138" s="13" t="n">
        <v>6.5</v>
      </c>
      <c r="J138" s="13" t="n">
        <v>4.5</v>
      </c>
      <c r="K138" s="12"/>
      <c r="L138" s="13" t="n">
        <f aca="false">I138*J138</f>
        <v>29.25</v>
      </c>
      <c r="M138" s="13" t="n">
        <v>45.2</v>
      </c>
      <c r="N138" s="13" t="n">
        <v>-34.4</v>
      </c>
      <c r="O138" s="12" t="s">
        <v>1047</v>
      </c>
      <c r="P138" s="12"/>
      <c r="Q138" s="12" t="s">
        <v>1048</v>
      </c>
      <c r="R138" s="12"/>
      <c r="S138" s="13" t="n">
        <f aca="false">SUM(L139:L146)</f>
        <v>11.7415</v>
      </c>
      <c r="T138" s="14" t="n">
        <f aca="false">S138/L138</f>
        <v>0.401418803418803</v>
      </c>
    </row>
    <row r="139" customFormat="false" ht="22.35" hidden="false" customHeight="false" outlineLevel="0" collapsed="false">
      <c r="A139" s="9"/>
      <c r="B139" s="9" t="s">
        <v>1041</v>
      </c>
      <c r="C139" s="9" t="s">
        <v>1042</v>
      </c>
      <c r="D139" s="9" t="n">
        <v>1</v>
      </c>
      <c r="E139" s="9" t="n">
        <v>1</v>
      </c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 t="s">
        <v>1043</v>
      </c>
      <c r="R139" s="9"/>
      <c r="S139" s="9"/>
      <c r="T139" s="9"/>
    </row>
    <row r="140" customFormat="false" ht="15" hidden="false" customHeight="false" outlineLevel="0" collapsed="false">
      <c r="B140" s="6" t="s">
        <v>1041</v>
      </c>
      <c r="F140" s="6" t="s">
        <v>1049</v>
      </c>
      <c r="G140" s="6" t="s">
        <v>213</v>
      </c>
      <c r="H140" s="6" t="n">
        <v>1</v>
      </c>
      <c r="I140" s="7" t="n">
        <v>2</v>
      </c>
      <c r="J140" s="7" t="n">
        <v>0.8</v>
      </c>
      <c r="K140" s="16" t="s">
        <v>226</v>
      </c>
      <c r="L140" s="7" t="n">
        <f aca="false">I140*J140</f>
        <v>1.6</v>
      </c>
      <c r="M140" s="7" t="n">
        <v>45.35</v>
      </c>
      <c r="N140" s="7" t="n">
        <v>-31.7</v>
      </c>
      <c r="O140" s="6" t="s">
        <v>505</v>
      </c>
      <c r="P140" s="6"/>
      <c r="Q140" s="6" t="s">
        <v>1050</v>
      </c>
      <c r="R140" s="16" t="s">
        <v>281</v>
      </c>
    </row>
    <row r="141" customFormat="false" ht="15" hidden="false" customHeight="false" outlineLevel="0" collapsed="false">
      <c r="B141" s="6" t="s">
        <v>1041</v>
      </c>
      <c r="F141" s="6" t="s">
        <v>648</v>
      </c>
      <c r="G141" s="6" t="s">
        <v>213</v>
      </c>
      <c r="H141" s="6" t="n">
        <v>1</v>
      </c>
      <c r="I141" s="7" t="n">
        <v>1.2</v>
      </c>
      <c r="J141" s="7" t="n">
        <v>1.2</v>
      </c>
      <c r="K141" s="16" t="s">
        <v>226</v>
      </c>
      <c r="L141" s="7" t="n">
        <f aca="false">I141*J141</f>
        <v>1.44</v>
      </c>
      <c r="M141" s="7" t="n">
        <v>47.5</v>
      </c>
      <c r="N141" s="7" t="n">
        <v>-32.1</v>
      </c>
      <c r="O141" s="6" t="s">
        <v>621</v>
      </c>
      <c r="P141" s="6"/>
      <c r="Q141" s="6" t="s">
        <v>1051</v>
      </c>
      <c r="R141" s="16" t="s">
        <v>281</v>
      </c>
    </row>
    <row r="142" customFormat="false" ht="15" hidden="false" customHeight="false" outlineLevel="0" collapsed="false">
      <c r="B142" s="6" t="s">
        <v>1041</v>
      </c>
      <c r="F142" s="6" t="s">
        <v>1052</v>
      </c>
      <c r="G142" s="6" t="s">
        <v>225</v>
      </c>
      <c r="H142" s="6" t="n">
        <v>1</v>
      </c>
      <c r="I142" s="7" t="n">
        <v>2</v>
      </c>
      <c r="J142" s="7" t="n">
        <v>0.5</v>
      </c>
      <c r="K142" s="16" t="s">
        <v>226</v>
      </c>
      <c r="L142" s="7" t="n">
        <f aca="false">I142*J142</f>
        <v>1</v>
      </c>
      <c r="M142" s="7" t="n">
        <v>45.35</v>
      </c>
      <c r="N142" s="7" t="n">
        <v>-32.4</v>
      </c>
      <c r="O142" s="6" t="s">
        <v>594</v>
      </c>
      <c r="P142" s="6"/>
      <c r="Q142" s="6" t="s">
        <v>1053</v>
      </c>
      <c r="R142" s="16" t="s">
        <v>281</v>
      </c>
    </row>
    <row r="143" customFormat="false" ht="15" hidden="false" customHeight="false" outlineLevel="0" collapsed="false">
      <c r="B143" s="6" t="s">
        <v>1041</v>
      </c>
      <c r="F143" s="6" t="s">
        <v>1054</v>
      </c>
      <c r="G143" s="6" t="s">
        <v>253</v>
      </c>
      <c r="H143" s="6" t="n">
        <v>5</v>
      </c>
      <c r="I143" s="7" t="n">
        <v>2.3</v>
      </c>
      <c r="J143" s="7" t="n">
        <v>1.7</v>
      </c>
      <c r="K143" s="16" t="s">
        <v>226</v>
      </c>
      <c r="L143" s="7" t="n">
        <f aca="false">I143*J143</f>
        <v>3.91</v>
      </c>
      <c r="M143" s="7" t="n">
        <v>45.35</v>
      </c>
      <c r="N143" s="7" t="n">
        <v>-34.3</v>
      </c>
      <c r="O143" s="6" t="s">
        <v>537</v>
      </c>
      <c r="P143" s="6" t="s">
        <v>1055</v>
      </c>
      <c r="Q143" s="6" t="s">
        <v>1056</v>
      </c>
    </row>
    <row r="144" customFormat="false" ht="15" hidden="false" customHeight="false" outlineLevel="0" collapsed="false">
      <c r="B144" s="6" t="s">
        <v>1041</v>
      </c>
      <c r="F144" s="6" t="s">
        <v>1057</v>
      </c>
      <c r="G144" s="6" t="s">
        <v>213</v>
      </c>
      <c r="H144" s="6" t="n">
        <v>1</v>
      </c>
      <c r="I144" s="7" t="n">
        <v>1.75</v>
      </c>
      <c r="J144" s="7" t="n">
        <v>2.05</v>
      </c>
      <c r="K144" s="16" t="s">
        <v>226</v>
      </c>
      <c r="L144" s="7" t="n">
        <f aca="false">I144*J144</f>
        <v>3.5875</v>
      </c>
      <c r="M144" s="7" t="n">
        <v>47.85</v>
      </c>
      <c r="N144" s="7" t="n">
        <v>-34.3</v>
      </c>
      <c r="O144" s="6" t="s">
        <v>562</v>
      </c>
      <c r="P144" s="6" t="s">
        <v>1058</v>
      </c>
      <c r="Q144" s="6" t="s">
        <v>1059</v>
      </c>
      <c r="R144" s="16" t="s">
        <v>281</v>
      </c>
    </row>
    <row r="145" customFormat="false" ht="15" hidden="false" customHeight="false" outlineLevel="0" collapsed="false">
      <c r="B145" s="6" t="s">
        <v>1041</v>
      </c>
      <c r="F145" s="6" t="s">
        <v>1060</v>
      </c>
      <c r="G145" s="6" t="s">
        <v>237</v>
      </c>
      <c r="H145" s="6" t="n">
        <v>1</v>
      </c>
      <c r="I145" s="7" t="n">
        <v>0.6</v>
      </c>
      <c r="J145" s="7" t="n">
        <v>0.34</v>
      </c>
      <c r="K145" s="6" t="s">
        <v>220</v>
      </c>
      <c r="L145" s="7" t="n">
        <f aca="false">I145*J145</f>
        <v>0.204</v>
      </c>
      <c r="M145" s="7" t="n">
        <v>46.05</v>
      </c>
      <c r="N145" s="7" t="n">
        <v>-30.82</v>
      </c>
      <c r="O145" s="6" t="s">
        <v>386</v>
      </c>
      <c r="P145" s="6" t="s">
        <v>239</v>
      </c>
      <c r="Q145" s="6" t="s">
        <v>1061</v>
      </c>
    </row>
    <row r="146" customFormat="false" ht="22.35" hidden="false" customHeight="false" outlineLevel="0" collapsed="false">
      <c r="B146" s="6" t="s">
        <v>1041</v>
      </c>
      <c r="F146" s="6" t="s">
        <v>1062</v>
      </c>
      <c r="G146" s="6" t="s">
        <v>1063</v>
      </c>
      <c r="K146" s="16" t="s">
        <v>226</v>
      </c>
      <c r="O146" s="6" t="s">
        <v>220</v>
      </c>
      <c r="P146" s="6" t="s">
        <v>1064</v>
      </c>
      <c r="Q146" s="6" t="s">
        <v>1065</v>
      </c>
      <c r="R146" s="16" t="s">
        <v>1066</v>
      </c>
    </row>
    <row r="147" customFormat="false" ht="22.35" hidden="false" customHeight="false" outlineLevel="0" collapsed="false">
      <c r="A147" s="12" t="s">
        <v>121</v>
      </c>
      <c r="B147" s="12"/>
      <c r="C147" s="12" t="s">
        <v>122</v>
      </c>
      <c r="D147" s="12"/>
      <c r="E147" s="12"/>
      <c r="F147" s="12" t="s">
        <v>207</v>
      </c>
      <c r="G147" s="12"/>
      <c r="H147" s="12"/>
      <c r="I147" s="13" t="n">
        <v>3.9</v>
      </c>
      <c r="J147" s="13" t="n">
        <v>5</v>
      </c>
      <c r="K147" s="12"/>
      <c r="L147" s="13" t="n">
        <f aca="false">I147*J147</f>
        <v>19.5</v>
      </c>
      <c r="M147" s="13" t="n">
        <v>40.3</v>
      </c>
      <c r="N147" s="13" t="n">
        <v>-34.9</v>
      </c>
      <c r="O147" s="12" t="s">
        <v>1067</v>
      </c>
      <c r="P147" s="12"/>
      <c r="Q147" s="12" t="s">
        <v>1068</v>
      </c>
      <c r="R147" s="12"/>
      <c r="S147" s="13" t="n">
        <f aca="false">SUM(L148:L152)</f>
        <v>4.324</v>
      </c>
      <c r="T147" s="14" t="n">
        <f aca="false">S147/L147</f>
        <v>0.22174358974359</v>
      </c>
    </row>
    <row r="148" customFormat="false" ht="22.35" hidden="false" customHeight="false" outlineLevel="0" collapsed="false">
      <c r="A148" s="9"/>
      <c r="B148" s="9" t="s">
        <v>1041</v>
      </c>
      <c r="C148" s="9" t="s">
        <v>1042</v>
      </c>
      <c r="D148" s="9" t="n">
        <v>1</v>
      </c>
      <c r="E148" s="9" t="n">
        <v>1</v>
      </c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 t="s">
        <v>1043</v>
      </c>
      <c r="R148" s="9"/>
      <c r="S148" s="9"/>
      <c r="T148" s="9"/>
    </row>
    <row r="149" customFormat="false" ht="15" hidden="false" customHeight="false" outlineLevel="0" collapsed="false">
      <c r="B149" s="6" t="s">
        <v>1041</v>
      </c>
      <c r="F149" s="6" t="s">
        <v>1069</v>
      </c>
      <c r="G149" s="6" t="s">
        <v>225</v>
      </c>
      <c r="H149" s="6" t="n">
        <v>1</v>
      </c>
      <c r="I149" s="7" t="n">
        <v>1.7</v>
      </c>
      <c r="J149" s="7" t="n">
        <v>0.6</v>
      </c>
      <c r="K149" s="16" t="s">
        <v>226</v>
      </c>
      <c r="L149" s="7" t="n">
        <f aca="false">I149*J149</f>
        <v>1.02</v>
      </c>
      <c r="M149" s="7" t="n">
        <v>40.45</v>
      </c>
      <c r="N149" s="7" t="n">
        <v>-34.2</v>
      </c>
      <c r="O149" s="6" t="s">
        <v>386</v>
      </c>
      <c r="P149" s="6"/>
      <c r="Q149" s="6" t="s">
        <v>1070</v>
      </c>
      <c r="R149" s="16" t="s">
        <v>281</v>
      </c>
    </row>
    <row r="150" customFormat="false" ht="15" hidden="false" customHeight="false" outlineLevel="0" collapsed="false">
      <c r="B150" s="6" t="s">
        <v>1041</v>
      </c>
      <c r="F150" s="6" t="s">
        <v>1071</v>
      </c>
      <c r="G150" s="6" t="s">
        <v>225</v>
      </c>
      <c r="H150" s="6" t="n">
        <v>1</v>
      </c>
      <c r="I150" s="7" t="n">
        <v>2.3</v>
      </c>
      <c r="J150" s="7" t="n">
        <v>0.8</v>
      </c>
      <c r="K150" s="16" t="s">
        <v>226</v>
      </c>
      <c r="L150" s="7" t="n">
        <f aca="false">I150*J150</f>
        <v>1.84</v>
      </c>
      <c r="M150" s="7" t="n">
        <v>40.45</v>
      </c>
      <c r="N150" s="7" t="n">
        <v>-32.6</v>
      </c>
      <c r="O150" s="6" t="s">
        <v>476</v>
      </c>
      <c r="P150" s="6"/>
      <c r="Q150" s="6" t="s">
        <v>1072</v>
      </c>
      <c r="R150" s="16" t="s">
        <v>281</v>
      </c>
    </row>
    <row r="151" customFormat="false" ht="15" hidden="false" customHeight="false" outlineLevel="0" collapsed="false">
      <c r="B151" s="6" t="s">
        <v>1041</v>
      </c>
      <c r="F151" s="6" t="s">
        <v>1073</v>
      </c>
      <c r="G151" s="6" t="s">
        <v>225</v>
      </c>
      <c r="H151" s="6" t="n">
        <v>1</v>
      </c>
      <c r="I151" s="7" t="n">
        <v>0.6</v>
      </c>
      <c r="J151" s="7" t="n">
        <v>2.1</v>
      </c>
      <c r="K151" s="16" t="s">
        <v>226</v>
      </c>
      <c r="L151" s="7" t="n">
        <f aca="false">I151*J151</f>
        <v>1.26</v>
      </c>
      <c r="M151" s="7" t="n">
        <v>43.5</v>
      </c>
      <c r="N151" s="7" t="n">
        <v>-34.2</v>
      </c>
      <c r="O151" s="6" t="s">
        <v>369</v>
      </c>
      <c r="P151" s="6"/>
      <c r="Q151" s="6" t="s">
        <v>1074</v>
      </c>
      <c r="R151" s="16" t="s">
        <v>281</v>
      </c>
    </row>
    <row r="152" customFormat="false" ht="15" hidden="false" customHeight="false" outlineLevel="0" collapsed="false">
      <c r="B152" s="6" t="s">
        <v>1041</v>
      </c>
      <c r="F152" s="6" t="s">
        <v>303</v>
      </c>
      <c r="G152" s="6" t="s">
        <v>237</v>
      </c>
      <c r="H152" s="6" t="n">
        <v>1</v>
      </c>
      <c r="I152" s="7" t="n">
        <v>0.6</v>
      </c>
      <c r="J152" s="7" t="n">
        <v>0.34</v>
      </c>
      <c r="K152" s="6" t="s">
        <v>220</v>
      </c>
      <c r="L152" s="7" t="n">
        <f aca="false">I152*J152</f>
        <v>0.204</v>
      </c>
      <c r="M152" s="7" t="n">
        <v>40.95</v>
      </c>
      <c r="N152" s="7" t="n">
        <v>-33.45</v>
      </c>
      <c r="O152" s="6" t="s">
        <v>621</v>
      </c>
      <c r="P152" s="6" t="s">
        <v>239</v>
      </c>
      <c r="Q152" s="6" t="s">
        <v>1075</v>
      </c>
    </row>
  </sheetData>
  <autoFilter ref="A4:T1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6"/>
    <col collapsed="false" customWidth="true" hidden="false" outlineLevel="0" max="12" min="9" style="0" width="9"/>
    <col collapsed="false" customWidth="true" hidden="false" outlineLevel="0" max="14" min="13" style="0" width="7"/>
    <col collapsed="false" customWidth="true" hidden="false" outlineLevel="0" max="15" min="15" style="0" width="46"/>
    <col collapsed="false" customWidth="true" hidden="false" outlineLevel="0" max="16" min="16" style="0" width="48"/>
    <col collapsed="false" customWidth="true" hidden="false" outlineLevel="0" max="17" min="17" style="0" width="40"/>
    <col collapsed="false" customWidth="true" hidden="false" outlineLevel="0" max="18" min="18" style="0" width="34"/>
    <col collapsed="false" customWidth="true" hidden="false" outlineLevel="0" max="19" min="19" style="0" width="11"/>
    <col collapsed="false" customWidth="true" hidden="false" outlineLevel="0" max="20" min="20" style="0" width="10"/>
  </cols>
  <sheetData>
    <row r="1" customFormat="false" ht="15" hidden="false" customHeight="false" outlineLevel="0" collapsed="false">
      <c r="A1" s="4" t="s">
        <v>1076</v>
      </c>
    </row>
    <row r="2" customFormat="false" ht="15" hidden="false" customHeight="false" outlineLevel="0" collapsed="false">
      <c r="A2" s="15" t="s">
        <v>189</v>
      </c>
    </row>
    <row r="4" customFormat="false" ht="32.8" hidden="false" customHeight="false" outlineLevel="0" collapsed="false">
      <c r="A4" s="5" t="s">
        <v>27</v>
      </c>
      <c r="B4" s="5" t="s">
        <v>190</v>
      </c>
      <c r="C4" s="5" t="s">
        <v>191</v>
      </c>
      <c r="D4" s="5" t="s">
        <v>192</v>
      </c>
      <c r="E4" s="5" t="s">
        <v>193</v>
      </c>
      <c r="F4" s="5" t="s">
        <v>194</v>
      </c>
      <c r="G4" s="5" t="s">
        <v>195</v>
      </c>
      <c r="H4" s="5" t="s">
        <v>196</v>
      </c>
      <c r="I4" s="5" t="s">
        <v>29</v>
      </c>
      <c r="J4" s="5" t="s">
        <v>30</v>
      </c>
      <c r="K4" s="5" t="s">
        <v>197</v>
      </c>
      <c r="L4" s="5" t="s">
        <v>198</v>
      </c>
      <c r="M4" s="5" t="s">
        <v>199</v>
      </c>
      <c r="N4" s="5" t="s">
        <v>200</v>
      </c>
      <c r="O4" s="5" t="s">
        <v>201</v>
      </c>
      <c r="P4" s="5" t="s">
        <v>202</v>
      </c>
      <c r="Q4" s="5" t="s">
        <v>203</v>
      </c>
      <c r="R4" s="5" t="s">
        <v>204</v>
      </c>
      <c r="S4" s="5" t="s">
        <v>205</v>
      </c>
      <c r="T4" s="5" t="s">
        <v>206</v>
      </c>
    </row>
    <row r="5" customFormat="false" ht="22.35" hidden="false" customHeight="false" outlineLevel="0" collapsed="false">
      <c r="A5" s="12" t="s">
        <v>125</v>
      </c>
      <c r="B5" s="12"/>
      <c r="C5" s="12" t="s">
        <v>126</v>
      </c>
      <c r="D5" s="12"/>
      <c r="E5" s="12"/>
      <c r="F5" s="12" t="s">
        <v>207</v>
      </c>
      <c r="G5" s="12"/>
      <c r="H5" s="12"/>
      <c r="I5" s="13" t="n">
        <v>3.2</v>
      </c>
      <c r="J5" s="13" t="n">
        <v>1.8</v>
      </c>
      <c r="K5" s="12"/>
      <c r="L5" s="13" t="n">
        <f aca="false">I5*J5</f>
        <v>5.76</v>
      </c>
      <c r="M5" s="13" t="n">
        <v>9.4</v>
      </c>
      <c r="N5" s="13" t="n">
        <v>-34.4</v>
      </c>
      <c r="O5" s="12" t="s">
        <v>1077</v>
      </c>
      <c r="P5" s="12"/>
      <c r="Q5" s="12" t="s">
        <v>1078</v>
      </c>
      <c r="R5" s="12"/>
      <c r="S5" s="13" t="n">
        <f aca="false">SUM(L6:L11)</f>
        <v>1.8955</v>
      </c>
      <c r="T5" s="14" t="n">
        <f aca="false">S5/L5</f>
        <v>0.329079861111111</v>
      </c>
    </row>
    <row r="6" customFormat="false" ht="22.35" hidden="false" customHeight="false" outlineLevel="0" collapsed="false">
      <c r="A6" s="9"/>
      <c r="B6" s="9" t="n">
        <v>1</v>
      </c>
      <c r="C6" s="9" t="s">
        <v>1079</v>
      </c>
      <c r="D6" s="9" t="n">
        <v>2</v>
      </c>
      <c r="E6" s="9" t="n">
        <v>1</v>
      </c>
      <c r="F6" s="9"/>
      <c r="G6" s="9"/>
      <c r="H6" s="9"/>
      <c r="I6" s="9"/>
      <c r="J6" s="9"/>
      <c r="K6" s="9"/>
      <c r="L6" s="9"/>
      <c r="M6" s="9"/>
      <c r="N6" s="9"/>
      <c r="O6" s="9"/>
      <c r="P6" s="9" t="s">
        <v>1080</v>
      </c>
      <c r="Q6" s="9" t="s">
        <v>1081</v>
      </c>
      <c r="R6" s="17"/>
      <c r="S6" s="9"/>
      <c r="T6" s="9"/>
    </row>
    <row r="7" customFormat="false" ht="22.35" hidden="false" customHeight="false" outlineLevel="0" collapsed="false">
      <c r="B7" s="6" t="n">
        <v>1</v>
      </c>
      <c r="F7" s="6" t="s">
        <v>1082</v>
      </c>
      <c r="G7" s="6" t="s">
        <v>253</v>
      </c>
      <c r="H7" s="6" t="n">
        <v>1</v>
      </c>
      <c r="I7" s="7" t="n">
        <v>1.05</v>
      </c>
      <c r="J7" s="7" t="n">
        <v>0.75</v>
      </c>
      <c r="K7" s="16" t="s">
        <v>226</v>
      </c>
      <c r="L7" s="7" t="n">
        <f aca="false">I7*J7</f>
        <v>0.7875</v>
      </c>
      <c r="M7" s="7" t="n">
        <v>10.05</v>
      </c>
      <c r="N7" s="7" t="n">
        <v>-33.6</v>
      </c>
      <c r="O7" s="6" t="s">
        <v>594</v>
      </c>
      <c r="P7" s="6" t="s">
        <v>1083</v>
      </c>
      <c r="Q7" s="6" t="s">
        <v>1084</v>
      </c>
      <c r="R7" s="16" t="s">
        <v>1085</v>
      </c>
    </row>
    <row r="8" customFormat="false" ht="15" hidden="false" customHeight="false" outlineLevel="0" collapsed="false">
      <c r="B8" s="6" t="n">
        <v>1</v>
      </c>
      <c r="F8" s="6" t="s">
        <v>1086</v>
      </c>
      <c r="G8" s="6" t="s">
        <v>225</v>
      </c>
      <c r="H8" s="6" t="n">
        <v>1</v>
      </c>
      <c r="I8" s="7" t="n">
        <v>0.7</v>
      </c>
      <c r="J8" s="7" t="n">
        <v>0.5</v>
      </c>
      <c r="K8" s="16" t="s">
        <v>226</v>
      </c>
      <c r="L8" s="7" t="n">
        <f aca="false">I8*J8</f>
        <v>0.35</v>
      </c>
      <c r="M8" s="7" t="n">
        <v>11.85</v>
      </c>
      <c r="N8" s="7" t="n">
        <v>-33.95</v>
      </c>
      <c r="O8" s="6" t="s">
        <v>389</v>
      </c>
      <c r="P8" s="6" t="s">
        <v>1087</v>
      </c>
      <c r="Q8" s="6" t="s">
        <v>1088</v>
      </c>
      <c r="R8" s="16" t="s">
        <v>281</v>
      </c>
    </row>
    <row r="9" customFormat="false" ht="15" hidden="false" customHeight="false" outlineLevel="0" collapsed="false">
      <c r="B9" s="6" t="n">
        <v>1</v>
      </c>
      <c r="F9" s="6" t="s">
        <v>1089</v>
      </c>
      <c r="G9" s="6" t="s">
        <v>225</v>
      </c>
      <c r="H9" s="6" t="n">
        <v>1</v>
      </c>
      <c r="I9" s="7" t="n">
        <v>0.7</v>
      </c>
      <c r="J9" s="7" t="n">
        <v>0.5</v>
      </c>
      <c r="K9" s="16" t="s">
        <v>226</v>
      </c>
      <c r="L9" s="7" t="n">
        <f aca="false">I9*J9</f>
        <v>0.35</v>
      </c>
      <c r="M9" s="7" t="n">
        <v>11.85</v>
      </c>
      <c r="N9" s="7" t="n">
        <v>-33.35</v>
      </c>
      <c r="O9" s="6" t="s">
        <v>389</v>
      </c>
      <c r="P9" s="6"/>
      <c r="Q9" s="6" t="s">
        <v>1090</v>
      </c>
      <c r="R9" s="16" t="s">
        <v>281</v>
      </c>
    </row>
    <row r="10" customFormat="false" ht="15" hidden="false" customHeight="false" outlineLevel="0" collapsed="false">
      <c r="B10" s="6" t="n">
        <v>1</v>
      </c>
      <c r="F10" s="6" t="s">
        <v>492</v>
      </c>
      <c r="G10" s="6" t="s">
        <v>237</v>
      </c>
      <c r="H10" s="6" t="n">
        <v>1</v>
      </c>
      <c r="I10" s="7" t="n">
        <v>0.6</v>
      </c>
      <c r="J10" s="7" t="n">
        <v>0.34</v>
      </c>
      <c r="K10" s="6" t="s">
        <v>220</v>
      </c>
      <c r="L10" s="7" t="n">
        <f aca="false">I10*J10</f>
        <v>0.204</v>
      </c>
      <c r="M10" s="7" t="n">
        <v>11.1</v>
      </c>
      <c r="N10" s="7" t="n">
        <v>-33.82</v>
      </c>
      <c r="O10" s="6" t="s">
        <v>621</v>
      </c>
      <c r="P10" s="6" t="s">
        <v>239</v>
      </c>
      <c r="Q10" s="6" t="s">
        <v>1091</v>
      </c>
    </row>
    <row r="11" customFormat="false" ht="15" hidden="false" customHeight="false" outlineLevel="0" collapsed="false">
      <c r="B11" s="6" t="n">
        <v>1</v>
      </c>
      <c r="F11" s="6" t="s">
        <v>495</v>
      </c>
      <c r="G11" s="6" t="s">
        <v>237</v>
      </c>
      <c r="H11" s="6" t="n">
        <v>1</v>
      </c>
      <c r="I11" s="7" t="n">
        <v>0.6</v>
      </c>
      <c r="J11" s="7" t="n">
        <v>0.34</v>
      </c>
      <c r="K11" s="6" t="s">
        <v>220</v>
      </c>
      <c r="L11" s="7" t="n">
        <f aca="false">I11*J11</f>
        <v>0.204</v>
      </c>
      <c r="M11" s="7" t="n">
        <v>11.1</v>
      </c>
      <c r="N11" s="7" t="n">
        <v>-33.17</v>
      </c>
      <c r="O11" s="6" t="s">
        <v>621</v>
      </c>
      <c r="P11" s="6" t="s">
        <v>239</v>
      </c>
      <c r="Q11" s="6" t="s">
        <v>1092</v>
      </c>
    </row>
    <row r="12" customFormat="false" ht="22.35" hidden="false" customHeight="false" outlineLevel="0" collapsed="false">
      <c r="A12" s="12" t="s">
        <v>127</v>
      </c>
      <c r="B12" s="12"/>
      <c r="C12" s="12" t="s">
        <v>128</v>
      </c>
      <c r="D12" s="12"/>
      <c r="E12" s="12"/>
      <c r="F12" s="12" t="s">
        <v>207</v>
      </c>
      <c r="G12" s="12"/>
      <c r="H12" s="12"/>
      <c r="I12" s="13" t="n">
        <v>3.2</v>
      </c>
      <c r="J12" s="13" t="n">
        <v>1.7</v>
      </c>
      <c r="K12" s="12"/>
      <c r="L12" s="13" t="n">
        <f aca="false">I12*J12</f>
        <v>5.44</v>
      </c>
      <c r="M12" s="13" t="n">
        <v>9.4</v>
      </c>
      <c r="N12" s="13" t="n">
        <v>-32.6</v>
      </c>
      <c r="O12" s="12" t="s">
        <v>1093</v>
      </c>
      <c r="P12" s="12"/>
      <c r="Q12" s="12" t="s">
        <v>1094</v>
      </c>
      <c r="R12" s="12"/>
      <c r="S12" s="13" t="n">
        <f aca="false">SUM(L13:L20)</f>
        <v>1.748</v>
      </c>
      <c r="T12" s="14" t="n">
        <f aca="false">S12/L12</f>
        <v>0.321323529411765</v>
      </c>
    </row>
    <row r="13" customFormat="false" ht="22.35" hidden="false" customHeight="false" outlineLevel="0" collapsed="false">
      <c r="A13" s="9"/>
      <c r="B13" s="9" t="n">
        <v>2</v>
      </c>
      <c r="C13" s="9" t="s">
        <v>1095</v>
      </c>
      <c r="D13" s="9" t="n">
        <v>2</v>
      </c>
      <c r="E13" s="9" t="n">
        <v>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 t="s">
        <v>1096</v>
      </c>
      <c r="Q13" s="9" t="s">
        <v>1097</v>
      </c>
      <c r="R13" s="17" t="s">
        <v>1098</v>
      </c>
      <c r="S13" s="9"/>
      <c r="T13" s="9"/>
    </row>
    <row r="14" customFormat="false" ht="15" hidden="false" customHeight="false" outlineLevel="0" collapsed="false">
      <c r="B14" s="6" t="n">
        <v>2</v>
      </c>
      <c r="F14" s="6" t="s">
        <v>1099</v>
      </c>
      <c r="G14" s="6" t="s">
        <v>213</v>
      </c>
      <c r="H14" s="6" t="n">
        <v>1</v>
      </c>
      <c r="I14" s="7" t="n">
        <v>0.8</v>
      </c>
      <c r="J14" s="7" t="n">
        <v>0.6</v>
      </c>
      <c r="K14" s="16" t="s">
        <v>226</v>
      </c>
      <c r="L14" s="7" t="n">
        <f aca="false">I14*J14</f>
        <v>0.48</v>
      </c>
      <c r="M14" s="7" t="n">
        <v>11.75</v>
      </c>
      <c r="N14" s="7" t="n">
        <v>-32.2</v>
      </c>
      <c r="O14" s="6" t="s">
        <v>389</v>
      </c>
      <c r="P14" s="6"/>
      <c r="Q14" s="6" t="s">
        <v>1100</v>
      </c>
      <c r="R14" s="16" t="s">
        <v>281</v>
      </c>
    </row>
    <row r="15" customFormat="false" ht="15" hidden="false" customHeight="false" outlineLevel="0" collapsed="false">
      <c r="B15" s="6" t="n">
        <v>2</v>
      </c>
      <c r="F15" s="6" t="s">
        <v>1101</v>
      </c>
      <c r="G15" s="6" t="s">
        <v>213</v>
      </c>
      <c r="H15" s="6" t="n">
        <v>1</v>
      </c>
      <c r="I15" s="7" t="n">
        <v>0.8</v>
      </c>
      <c r="J15" s="7" t="n">
        <v>0.55</v>
      </c>
      <c r="K15" s="16" t="s">
        <v>226</v>
      </c>
      <c r="L15" s="7" t="n">
        <f aca="false">I15*J15</f>
        <v>0.44</v>
      </c>
      <c r="M15" s="7" t="n">
        <v>11.75</v>
      </c>
      <c r="N15" s="7" t="n">
        <v>-31.5</v>
      </c>
      <c r="O15" s="6" t="s">
        <v>389</v>
      </c>
      <c r="P15" s="6"/>
      <c r="Q15" s="6" t="s">
        <v>1102</v>
      </c>
      <c r="R15" s="16" t="s">
        <v>281</v>
      </c>
    </row>
    <row r="16" customFormat="false" ht="15" hidden="false" customHeight="false" outlineLevel="0" collapsed="false">
      <c r="B16" s="6" t="n">
        <v>2</v>
      </c>
      <c r="F16" s="6" t="s">
        <v>1103</v>
      </c>
      <c r="G16" s="6" t="s">
        <v>225</v>
      </c>
      <c r="H16" s="6" t="n">
        <v>1</v>
      </c>
      <c r="I16" s="7" t="n">
        <v>0.4</v>
      </c>
      <c r="J16" s="7" t="n">
        <v>0.35</v>
      </c>
      <c r="K16" s="16" t="s">
        <v>226</v>
      </c>
      <c r="L16" s="7" t="n">
        <f aca="false">I16*J16</f>
        <v>0.14</v>
      </c>
      <c r="M16" s="7" t="n">
        <v>9.95</v>
      </c>
      <c r="N16" s="7" t="n">
        <v>-32.15</v>
      </c>
      <c r="O16" s="6" t="s">
        <v>594</v>
      </c>
      <c r="P16" s="6"/>
      <c r="Q16" s="6" t="s">
        <v>1104</v>
      </c>
      <c r="R16" s="16" t="s">
        <v>281</v>
      </c>
    </row>
    <row r="17" customFormat="false" ht="15" hidden="false" customHeight="false" outlineLevel="0" collapsed="false">
      <c r="B17" s="6" t="n">
        <v>2</v>
      </c>
      <c r="F17" s="6" t="s">
        <v>1105</v>
      </c>
      <c r="G17" s="6" t="s">
        <v>225</v>
      </c>
      <c r="H17" s="6" t="n">
        <v>1</v>
      </c>
      <c r="I17" s="7" t="n">
        <v>0.4</v>
      </c>
      <c r="J17" s="7" t="n">
        <v>0.35</v>
      </c>
      <c r="K17" s="16" t="s">
        <v>226</v>
      </c>
      <c r="L17" s="7" t="n">
        <f aca="false">I17*J17</f>
        <v>0.14</v>
      </c>
      <c r="M17" s="7" t="n">
        <v>10.37</v>
      </c>
      <c r="N17" s="7" t="n">
        <v>-32.15</v>
      </c>
      <c r="O17" s="6" t="s">
        <v>594</v>
      </c>
      <c r="P17" s="6"/>
      <c r="Q17" s="6" t="s">
        <v>1106</v>
      </c>
      <c r="R17" s="16" t="s">
        <v>281</v>
      </c>
    </row>
    <row r="18" customFormat="false" ht="15" hidden="false" customHeight="false" outlineLevel="0" collapsed="false">
      <c r="B18" s="6" t="n">
        <v>2</v>
      </c>
      <c r="F18" s="6" t="s">
        <v>1107</v>
      </c>
      <c r="G18" s="6" t="s">
        <v>225</v>
      </c>
      <c r="H18" s="6" t="n">
        <v>1</v>
      </c>
      <c r="I18" s="7" t="n">
        <v>0.4</v>
      </c>
      <c r="J18" s="7" t="n">
        <v>0.35</v>
      </c>
      <c r="K18" s="16" t="s">
        <v>226</v>
      </c>
      <c r="L18" s="7" t="n">
        <f aca="false">I18*J18</f>
        <v>0.14</v>
      </c>
      <c r="M18" s="7" t="n">
        <v>10.79</v>
      </c>
      <c r="N18" s="7" t="n">
        <v>-32.15</v>
      </c>
      <c r="O18" s="6" t="s">
        <v>594</v>
      </c>
      <c r="P18" s="6"/>
      <c r="Q18" s="6" t="s">
        <v>1108</v>
      </c>
      <c r="R18" s="16" t="s">
        <v>281</v>
      </c>
    </row>
    <row r="19" customFormat="false" ht="15" hidden="false" customHeight="false" outlineLevel="0" collapsed="false">
      <c r="B19" s="6" t="n">
        <v>2</v>
      </c>
      <c r="F19" s="6" t="s">
        <v>492</v>
      </c>
      <c r="G19" s="6" t="s">
        <v>237</v>
      </c>
      <c r="H19" s="6" t="n">
        <v>1</v>
      </c>
      <c r="I19" s="7" t="n">
        <v>0.6</v>
      </c>
      <c r="J19" s="7" t="n">
        <v>0.34</v>
      </c>
      <c r="K19" s="6" t="s">
        <v>220</v>
      </c>
      <c r="L19" s="7" t="n">
        <f aca="false">I19*J19</f>
        <v>0.204</v>
      </c>
      <c r="M19" s="7" t="n">
        <v>11</v>
      </c>
      <c r="N19" s="7" t="n">
        <v>-32.07</v>
      </c>
      <c r="O19" s="6" t="s">
        <v>621</v>
      </c>
      <c r="P19" s="6" t="s">
        <v>239</v>
      </c>
      <c r="Q19" s="6" t="s">
        <v>1109</v>
      </c>
    </row>
    <row r="20" customFormat="false" ht="15" hidden="false" customHeight="false" outlineLevel="0" collapsed="false">
      <c r="B20" s="6" t="n">
        <v>2</v>
      </c>
      <c r="F20" s="6" t="s">
        <v>495</v>
      </c>
      <c r="G20" s="6" t="s">
        <v>237</v>
      </c>
      <c r="H20" s="6" t="n">
        <v>1</v>
      </c>
      <c r="I20" s="7" t="n">
        <v>0.6</v>
      </c>
      <c r="J20" s="7" t="n">
        <v>0.34</v>
      </c>
      <c r="K20" s="6" t="s">
        <v>220</v>
      </c>
      <c r="L20" s="7" t="n">
        <f aca="false">I20*J20</f>
        <v>0.204</v>
      </c>
      <c r="M20" s="7" t="n">
        <v>11</v>
      </c>
      <c r="N20" s="7" t="n">
        <v>-31.37</v>
      </c>
      <c r="O20" s="6" t="s">
        <v>621</v>
      </c>
      <c r="P20" s="6" t="s">
        <v>239</v>
      </c>
      <c r="Q20" s="6" t="s">
        <v>1110</v>
      </c>
    </row>
    <row r="21" customFormat="false" ht="15" hidden="false" customHeight="false" outlineLevel="0" collapsed="false">
      <c r="A21" s="12" t="s">
        <v>129</v>
      </c>
      <c r="B21" s="12"/>
      <c r="C21" s="12" t="s">
        <v>130</v>
      </c>
      <c r="D21" s="12"/>
      <c r="E21" s="12"/>
      <c r="F21" s="12" t="s">
        <v>207</v>
      </c>
      <c r="G21" s="12"/>
      <c r="H21" s="12"/>
      <c r="I21" s="13" t="n">
        <v>2</v>
      </c>
      <c r="J21" s="13" t="n">
        <v>2.9</v>
      </c>
      <c r="K21" s="12"/>
      <c r="L21" s="13" t="n">
        <f aca="false">I21*J21</f>
        <v>5.8</v>
      </c>
      <c r="M21" s="13" t="n">
        <v>-2.5</v>
      </c>
      <c r="N21" s="13" t="n">
        <v>-22</v>
      </c>
      <c r="O21" s="12" t="s">
        <v>1111</v>
      </c>
      <c r="P21" s="12"/>
      <c r="Q21" s="12" t="s">
        <v>1112</v>
      </c>
      <c r="R21" s="12"/>
      <c r="S21" s="13" t="n">
        <f aca="false">SUM(L22:L24)</f>
        <v>1.4115</v>
      </c>
      <c r="T21" s="14" t="n">
        <f aca="false">S21/L21</f>
        <v>0.243362068965517</v>
      </c>
    </row>
    <row r="22" customFormat="false" ht="22.35" hidden="false" customHeight="false" outlineLevel="0" collapsed="false">
      <c r="A22" s="9"/>
      <c r="B22" s="9" t="n">
        <v>3</v>
      </c>
      <c r="C22" s="9" t="s">
        <v>1113</v>
      </c>
      <c r="D22" s="9" t="n">
        <v>1</v>
      </c>
      <c r="E22" s="9" t="n">
        <v>2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 t="s">
        <v>1114</v>
      </c>
      <c r="Q22" s="9" t="s">
        <v>1115</v>
      </c>
      <c r="R22" s="17" t="s">
        <v>1098</v>
      </c>
      <c r="S22" s="9"/>
      <c r="T22" s="9"/>
    </row>
    <row r="23" customFormat="false" ht="15" hidden="false" customHeight="false" outlineLevel="0" collapsed="false">
      <c r="B23" s="6" t="n">
        <v>3</v>
      </c>
      <c r="F23" s="6" t="s">
        <v>1116</v>
      </c>
      <c r="G23" s="6" t="s">
        <v>213</v>
      </c>
      <c r="H23" s="6" t="n">
        <v>1</v>
      </c>
      <c r="I23" s="7" t="n">
        <v>1.15</v>
      </c>
      <c r="J23" s="7" t="n">
        <v>1.05</v>
      </c>
      <c r="K23" s="16" t="s">
        <v>226</v>
      </c>
      <c r="L23" s="7" t="n">
        <f aca="false">I23*J23</f>
        <v>1.2075</v>
      </c>
      <c r="M23" s="7" t="n">
        <v>-2.3</v>
      </c>
      <c r="N23" s="7" t="n">
        <v>-21.2</v>
      </c>
      <c r="O23" s="6" t="s">
        <v>594</v>
      </c>
      <c r="P23" s="6"/>
      <c r="Q23" s="6" t="s">
        <v>1117</v>
      </c>
      <c r="R23" s="16" t="s">
        <v>281</v>
      </c>
    </row>
    <row r="24" customFormat="false" ht="15" hidden="false" customHeight="false" outlineLevel="0" collapsed="false">
      <c r="B24" s="6" t="n">
        <v>3</v>
      </c>
      <c r="F24" s="6" t="s">
        <v>303</v>
      </c>
      <c r="G24" s="6" t="s">
        <v>237</v>
      </c>
      <c r="H24" s="6" t="n">
        <v>1</v>
      </c>
      <c r="I24" s="7" t="n">
        <v>0.6</v>
      </c>
      <c r="J24" s="7" t="n">
        <v>0.34</v>
      </c>
      <c r="K24" s="6" t="s">
        <v>220</v>
      </c>
      <c r="L24" s="7" t="n">
        <f aca="false">I24*J24</f>
        <v>0.204</v>
      </c>
      <c r="M24" s="7" t="n">
        <v>-1.15</v>
      </c>
      <c r="N24" s="7" t="n">
        <v>-20.57</v>
      </c>
      <c r="O24" s="6" t="s">
        <v>389</v>
      </c>
      <c r="P24" s="6" t="s">
        <v>239</v>
      </c>
      <c r="Q24" s="6" t="s">
        <v>1118</v>
      </c>
    </row>
    <row r="25" customFormat="false" ht="15" hidden="false" customHeight="false" outlineLevel="0" collapsed="false">
      <c r="A25" s="12" t="s">
        <v>131</v>
      </c>
      <c r="B25" s="12"/>
      <c r="C25" s="12" t="s">
        <v>132</v>
      </c>
      <c r="D25" s="12"/>
      <c r="E25" s="12"/>
      <c r="F25" s="12" t="s">
        <v>207</v>
      </c>
      <c r="G25" s="12"/>
      <c r="H25" s="12"/>
      <c r="I25" s="13" t="n">
        <v>2</v>
      </c>
      <c r="J25" s="13" t="n">
        <v>2</v>
      </c>
      <c r="K25" s="12"/>
      <c r="L25" s="13" t="n">
        <f aca="false">I25*J25</f>
        <v>4</v>
      </c>
      <c r="M25" s="13" t="n">
        <v>-2.5</v>
      </c>
      <c r="N25" s="13" t="n">
        <v>-24</v>
      </c>
      <c r="O25" s="12" t="s">
        <v>1119</v>
      </c>
      <c r="P25" s="12"/>
      <c r="Q25" s="12" t="s">
        <v>1120</v>
      </c>
      <c r="R25" s="12"/>
      <c r="S25" s="13" t="n">
        <f aca="false">SUM(L26:L29)</f>
        <v>0.924</v>
      </c>
      <c r="T25" s="14" t="n">
        <f aca="false">S25/L25</f>
        <v>0.231</v>
      </c>
    </row>
    <row r="26" customFormat="false" ht="22.35" hidden="false" customHeight="false" outlineLevel="0" collapsed="false">
      <c r="A26" s="9"/>
      <c r="B26" s="9" t="n">
        <v>4</v>
      </c>
      <c r="C26" s="9" t="s">
        <v>1121</v>
      </c>
      <c r="D26" s="9" t="n">
        <v>1</v>
      </c>
      <c r="E26" s="9" t="n">
        <v>1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 t="s">
        <v>1122</v>
      </c>
      <c r="Q26" s="9" t="s">
        <v>1123</v>
      </c>
      <c r="R26" s="17" t="s">
        <v>1098</v>
      </c>
      <c r="S26" s="9"/>
      <c r="T26" s="9"/>
    </row>
    <row r="27" customFormat="false" ht="15" hidden="false" customHeight="false" outlineLevel="0" collapsed="false">
      <c r="B27" s="6" t="n">
        <v>4</v>
      </c>
      <c r="F27" s="6" t="s">
        <v>1124</v>
      </c>
      <c r="G27" s="6" t="s">
        <v>225</v>
      </c>
      <c r="H27" s="6" t="n">
        <v>1</v>
      </c>
      <c r="I27" s="7" t="n">
        <v>0.6</v>
      </c>
      <c r="J27" s="7" t="n">
        <v>0.6</v>
      </c>
      <c r="K27" s="16" t="s">
        <v>226</v>
      </c>
      <c r="L27" s="7" t="n">
        <f aca="false">I27*J27</f>
        <v>0.36</v>
      </c>
      <c r="M27" s="7" t="n">
        <v>-2.3</v>
      </c>
      <c r="N27" s="7" t="n">
        <v>-22.75</v>
      </c>
      <c r="O27" s="6" t="s">
        <v>537</v>
      </c>
      <c r="P27" s="6" t="s">
        <v>1125</v>
      </c>
      <c r="Q27" s="6" t="s">
        <v>1126</v>
      </c>
      <c r="R27" s="16" t="s">
        <v>281</v>
      </c>
    </row>
    <row r="28" customFormat="false" ht="15" hidden="false" customHeight="false" outlineLevel="0" collapsed="false">
      <c r="B28" s="6" t="n">
        <v>4</v>
      </c>
      <c r="F28" s="6" t="s">
        <v>1127</v>
      </c>
      <c r="G28" s="6" t="s">
        <v>225</v>
      </c>
      <c r="H28" s="6" t="n">
        <v>1</v>
      </c>
      <c r="I28" s="7" t="n">
        <v>0.6</v>
      </c>
      <c r="J28" s="7" t="n">
        <v>0.6</v>
      </c>
      <c r="K28" s="16" t="s">
        <v>226</v>
      </c>
      <c r="L28" s="7" t="n">
        <f aca="false">I28*J28</f>
        <v>0.36</v>
      </c>
      <c r="M28" s="7" t="n">
        <v>-1.55</v>
      </c>
      <c r="N28" s="7" t="n">
        <v>-22.75</v>
      </c>
      <c r="O28" s="6" t="s">
        <v>562</v>
      </c>
      <c r="P28" s="6" t="s">
        <v>1125</v>
      </c>
      <c r="Q28" s="6" t="s">
        <v>1128</v>
      </c>
      <c r="R28" s="16" t="s">
        <v>281</v>
      </c>
    </row>
    <row r="29" customFormat="false" ht="15" hidden="false" customHeight="false" outlineLevel="0" collapsed="false">
      <c r="B29" s="6" t="n">
        <v>4</v>
      </c>
      <c r="F29" s="6" t="s">
        <v>303</v>
      </c>
      <c r="G29" s="6" t="s">
        <v>237</v>
      </c>
      <c r="H29" s="6" t="n">
        <v>1</v>
      </c>
      <c r="I29" s="7" t="n">
        <v>0.6</v>
      </c>
      <c r="J29" s="7" t="n">
        <v>0.34</v>
      </c>
      <c r="K29" s="6" t="s">
        <v>220</v>
      </c>
      <c r="L29" s="7" t="n">
        <f aca="false">I29*J29</f>
        <v>0.204</v>
      </c>
      <c r="M29" s="7" t="n">
        <v>-1.5</v>
      </c>
      <c r="N29" s="7" t="n">
        <v>-23.47</v>
      </c>
      <c r="O29" s="6" t="s">
        <v>386</v>
      </c>
      <c r="P29" s="6" t="s">
        <v>239</v>
      </c>
      <c r="Q29" s="6" t="s">
        <v>1129</v>
      </c>
    </row>
    <row r="30" customFormat="false" ht="15" hidden="false" customHeight="false" outlineLevel="0" collapsed="false">
      <c r="A30" s="12" t="s">
        <v>133</v>
      </c>
      <c r="B30" s="12"/>
      <c r="C30" s="12" t="s">
        <v>134</v>
      </c>
      <c r="D30" s="12"/>
      <c r="E30" s="12"/>
      <c r="F30" s="12" t="s">
        <v>207</v>
      </c>
      <c r="G30" s="12"/>
      <c r="H30" s="12"/>
      <c r="I30" s="13" t="n">
        <v>2</v>
      </c>
      <c r="J30" s="13" t="n">
        <v>1.95</v>
      </c>
      <c r="K30" s="12"/>
      <c r="L30" s="13" t="n">
        <f aca="false">I30*J30</f>
        <v>3.9</v>
      </c>
      <c r="M30" s="13" t="n">
        <v>-2.5</v>
      </c>
      <c r="N30" s="13" t="n">
        <v>-34.4</v>
      </c>
      <c r="O30" s="12" t="s">
        <v>1130</v>
      </c>
      <c r="P30" s="12"/>
      <c r="Q30" s="12" t="s">
        <v>1131</v>
      </c>
      <c r="R30" s="12"/>
      <c r="S30" s="13" t="n">
        <f aca="false">SUM(L31:L33)</f>
        <v>1.744</v>
      </c>
      <c r="T30" s="14" t="n">
        <f aca="false">S30/L30</f>
        <v>0.447179487179487</v>
      </c>
    </row>
    <row r="31" customFormat="false" ht="22.35" hidden="false" customHeight="false" outlineLevel="0" collapsed="false">
      <c r="A31" s="9"/>
      <c r="B31" s="9" t="n">
        <v>4</v>
      </c>
      <c r="C31" s="9" t="s">
        <v>1121</v>
      </c>
      <c r="D31" s="9" t="n">
        <v>1</v>
      </c>
      <c r="E31" s="9" t="n">
        <v>1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 t="s">
        <v>1122</v>
      </c>
      <c r="Q31" s="9" t="s">
        <v>1123</v>
      </c>
      <c r="R31" s="17" t="s">
        <v>1098</v>
      </c>
      <c r="S31" s="9"/>
      <c r="T31" s="9"/>
    </row>
    <row r="32" customFormat="false" ht="15" hidden="false" customHeight="false" outlineLevel="0" collapsed="false">
      <c r="B32" s="6" t="n">
        <v>4</v>
      </c>
      <c r="F32" s="6" t="s">
        <v>1132</v>
      </c>
      <c r="G32" s="6" t="s">
        <v>213</v>
      </c>
      <c r="H32" s="6" t="n">
        <v>1</v>
      </c>
      <c r="I32" s="7" t="n">
        <v>1.4</v>
      </c>
      <c r="J32" s="7" t="n">
        <v>1.1</v>
      </c>
      <c r="K32" s="16" t="s">
        <v>226</v>
      </c>
      <c r="L32" s="7" t="n">
        <f aca="false">I32*J32</f>
        <v>1.54</v>
      </c>
      <c r="M32" s="7" t="n">
        <v>-2.35</v>
      </c>
      <c r="N32" s="7" t="n">
        <v>-33.85</v>
      </c>
      <c r="O32" s="6" t="s">
        <v>594</v>
      </c>
      <c r="P32" s="6" t="s">
        <v>1133</v>
      </c>
      <c r="Q32" s="6" t="s">
        <v>1134</v>
      </c>
      <c r="R32" s="16" t="s">
        <v>281</v>
      </c>
    </row>
    <row r="33" customFormat="false" ht="15" hidden="false" customHeight="false" outlineLevel="0" collapsed="false">
      <c r="B33" s="6" t="n">
        <v>4</v>
      </c>
      <c r="F33" s="6" t="s">
        <v>303</v>
      </c>
      <c r="G33" s="6" t="s">
        <v>237</v>
      </c>
      <c r="H33" s="6" t="n">
        <v>1</v>
      </c>
      <c r="I33" s="7" t="n">
        <v>0.6</v>
      </c>
      <c r="J33" s="7" t="n">
        <v>0.34</v>
      </c>
      <c r="K33" s="6" t="s">
        <v>220</v>
      </c>
      <c r="L33" s="7" t="n">
        <f aca="false">I33*J33</f>
        <v>0.204</v>
      </c>
      <c r="M33" s="7" t="n">
        <v>-1.05</v>
      </c>
      <c r="N33" s="7" t="n">
        <v>-33.17</v>
      </c>
      <c r="O33" s="6" t="s">
        <v>389</v>
      </c>
      <c r="P33" s="6" t="s">
        <v>239</v>
      </c>
      <c r="Q33" s="6" t="s">
        <v>1135</v>
      </c>
    </row>
    <row r="34" customFormat="false" ht="32.8" hidden="false" customHeight="false" outlineLevel="0" collapsed="false">
      <c r="A34" s="12" t="s">
        <v>135</v>
      </c>
      <c r="B34" s="12"/>
      <c r="C34" s="12" t="s">
        <v>136</v>
      </c>
      <c r="D34" s="12"/>
      <c r="E34" s="12"/>
      <c r="F34" s="12" t="s">
        <v>207</v>
      </c>
      <c r="G34" s="12"/>
      <c r="H34" s="12"/>
      <c r="I34" s="13" t="n">
        <v>3.2</v>
      </c>
      <c r="J34" s="13" t="n">
        <v>3.7</v>
      </c>
      <c r="K34" s="12"/>
      <c r="L34" s="13" t="n">
        <f aca="false">I34*J34</f>
        <v>11.84</v>
      </c>
      <c r="M34" s="13" t="n">
        <v>9.4</v>
      </c>
      <c r="N34" s="13" t="n">
        <v>-30.9</v>
      </c>
      <c r="O34" s="12" t="s">
        <v>1136</v>
      </c>
      <c r="P34" s="12"/>
      <c r="Q34" s="12" t="s">
        <v>1137</v>
      </c>
      <c r="R34" s="12"/>
      <c r="S34" s="13" t="n">
        <f aca="false">SUM(L35:L45)</f>
        <v>4.4676</v>
      </c>
      <c r="T34" s="14" t="n">
        <f aca="false">S34/L34</f>
        <v>0.377331081081081</v>
      </c>
    </row>
    <row r="35" customFormat="false" ht="22.35" hidden="false" customHeight="false" outlineLevel="0" collapsed="false">
      <c r="A35" s="9"/>
      <c r="B35" s="9" t="n">
        <v>5</v>
      </c>
      <c r="C35" s="9" t="s">
        <v>1138</v>
      </c>
      <c r="D35" s="9" t="n">
        <v>1</v>
      </c>
      <c r="E35" s="9" t="n">
        <v>1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 t="s">
        <v>1139</v>
      </c>
      <c r="Q35" s="9" t="s">
        <v>1140</v>
      </c>
      <c r="R35" s="17" t="s">
        <v>1098</v>
      </c>
      <c r="S35" s="9"/>
      <c r="T35" s="9"/>
    </row>
    <row r="36" customFormat="false" ht="15" hidden="false" customHeight="false" outlineLevel="0" collapsed="false">
      <c r="B36" s="6" t="n">
        <v>5</v>
      </c>
      <c r="F36" s="6" t="s">
        <v>1141</v>
      </c>
      <c r="G36" s="6" t="s">
        <v>225</v>
      </c>
      <c r="H36" s="6" t="n">
        <v>1</v>
      </c>
      <c r="I36" s="7" t="n">
        <v>1.05</v>
      </c>
      <c r="J36" s="7" t="n">
        <v>1</v>
      </c>
      <c r="K36" s="16" t="s">
        <v>226</v>
      </c>
      <c r="L36" s="7" t="n">
        <f aca="false">I36*J36</f>
        <v>1.05</v>
      </c>
      <c r="M36" s="7" t="n">
        <v>11.5</v>
      </c>
      <c r="N36" s="7" t="n">
        <v>-30.4</v>
      </c>
      <c r="O36" s="6" t="s">
        <v>355</v>
      </c>
      <c r="P36" s="6" t="s">
        <v>1142</v>
      </c>
      <c r="Q36" s="6" t="s">
        <v>1143</v>
      </c>
      <c r="R36" s="16" t="s">
        <v>281</v>
      </c>
    </row>
    <row r="37" customFormat="false" ht="15" hidden="false" customHeight="false" outlineLevel="0" collapsed="false">
      <c r="B37" s="6" t="n">
        <v>5</v>
      </c>
      <c r="F37" s="6" t="s">
        <v>1144</v>
      </c>
      <c r="G37" s="6" t="s">
        <v>225</v>
      </c>
      <c r="H37" s="6" t="n">
        <v>1</v>
      </c>
      <c r="I37" s="7" t="n">
        <v>1.05</v>
      </c>
      <c r="J37" s="7" t="n">
        <v>1</v>
      </c>
      <c r="K37" s="16" t="s">
        <v>226</v>
      </c>
      <c r="L37" s="7" t="n">
        <f aca="false">I37*J37</f>
        <v>1.05</v>
      </c>
      <c r="M37" s="7" t="n">
        <v>11.5</v>
      </c>
      <c r="N37" s="7" t="n">
        <v>-29.35</v>
      </c>
      <c r="O37" s="6" t="s">
        <v>389</v>
      </c>
      <c r="P37" s="6" t="s">
        <v>1142</v>
      </c>
      <c r="Q37" s="6" t="s">
        <v>1145</v>
      </c>
      <c r="R37" s="16" t="s">
        <v>281</v>
      </c>
    </row>
    <row r="38" customFormat="false" ht="15" hidden="false" customHeight="false" outlineLevel="0" collapsed="false">
      <c r="B38" s="6" t="n">
        <v>5</v>
      </c>
      <c r="F38" s="6" t="s">
        <v>1146</v>
      </c>
      <c r="G38" s="6" t="s">
        <v>225</v>
      </c>
      <c r="H38" s="6" t="n">
        <v>1</v>
      </c>
      <c r="I38" s="7" t="n">
        <v>0.7</v>
      </c>
      <c r="J38" s="7" t="n">
        <v>0.7</v>
      </c>
      <c r="K38" s="16" t="s">
        <v>226</v>
      </c>
      <c r="L38" s="7" t="n">
        <f aca="false">I38*J38</f>
        <v>0.49</v>
      </c>
      <c r="M38" s="7" t="n">
        <v>10.05</v>
      </c>
      <c r="N38" s="7" t="n">
        <v>-30.1</v>
      </c>
      <c r="O38" s="6" t="s">
        <v>621</v>
      </c>
      <c r="P38" s="6" t="s">
        <v>1147</v>
      </c>
      <c r="Q38" s="6" t="s">
        <v>1148</v>
      </c>
      <c r="R38" s="16" t="s">
        <v>1149</v>
      </c>
    </row>
    <row r="39" customFormat="false" ht="15" hidden="false" customHeight="false" outlineLevel="0" collapsed="false">
      <c r="B39" s="6" t="n">
        <v>5</v>
      </c>
      <c r="F39" s="6" t="s">
        <v>1150</v>
      </c>
      <c r="G39" s="6" t="s">
        <v>225</v>
      </c>
      <c r="H39" s="6" t="n">
        <v>1</v>
      </c>
      <c r="I39" s="7" t="n">
        <v>0.56</v>
      </c>
      <c r="J39" s="7" t="n">
        <v>0.56</v>
      </c>
      <c r="K39" s="16" t="s">
        <v>226</v>
      </c>
      <c r="L39" s="7" t="n">
        <f aca="false">I39*J39</f>
        <v>0.3136</v>
      </c>
      <c r="M39" s="7" t="n">
        <v>10.17</v>
      </c>
      <c r="N39" s="7" t="n">
        <v>-28.38</v>
      </c>
      <c r="O39" s="6" t="s">
        <v>476</v>
      </c>
      <c r="P39" s="6" t="s">
        <v>1151</v>
      </c>
      <c r="Q39" s="6" t="s">
        <v>1152</v>
      </c>
      <c r="R39" s="16" t="s">
        <v>1149</v>
      </c>
    </row>
    <row r="40" customFormat="false" ht="15" hidden="false" customHeight="false" outlineLevel="0" collapsed="false">
      <c r="B40" s="6" t="n">
        <v>5</v>
      </c>
      <c r="F40" s="6" t="s">
        <v>1153</v>
      </c>
      <c r="G40" s="6" t="s">
        <v>225</v>
      </c>
      <c r="H40" s="6" t="n">
        <v>1</v>
      </c>
      <c r="I40" s="7" t="n">
        <v>0.8</v>
      </c>
      <c r="J40" s="7" t="n">
        <v>0.8</v>
      </c>
      <c r="K40" s="16" t="s">
        <v>226</v>
      </c>
      <c r="L40" s="7" t="n">
        <f aca="false">I40*J40</f>
        <v>0.64</v>
      </c>
      <c r="M40" s="7" t="n">
        <v>11.65</v>
      </c>
      <c r="N40" s="7" t="n">
        <v>-28.15</v>
      </c>
      <c r="O40" s="6" t="s">
        <v>562</v>
      </c>
      <c r="P40" s="6" t="s">
        <v>1154</v>
      </c>
      <c r="Q40" s="6" t="s">
        <v>1155</v>
      </c>
      <c r="R40" s="16" t="s">
        <v>281</v>
      </c>
    </row>
    <row r="41" customFormat="false" ht="15" hidden="false" customHeight="false" outlineLevel="0" collapsed="false">
      <c r="B41" s="6" t="n">
        <v>5</v>
      </c>
      <c r="F41" s="6" t="s">
        <v>1156</v>
      </c>
      <c r="G41" s="6" t="s">
        <v>225</v>
      </c>
      <c r="H41" s="6" t="n">
        <v>1</v>
      </c>
      <c r="I41" s="7" t="n">
        <v>0.5</v>
      </c>
      <c r="J41" s="7" t="n">
        <v>0.35</v>
      </c>
      <c r="K41" s="16" t="s">
        <v>226</v>
      </c>
      <c r="L41" s="7" t="n">
        <f aca="false">I41*J41</f>
        <v>0.175</v>
      </c>
      <c r="M41" s="7" t="n">
        <v>9.95</v>
      </c>
      <c r="N41" s="7" t="n">
        <v>-29.15</v>
      </c>
      <c r="O41" s="6" t="s">
        <v>594</v>
      </c>
      <c r="P41" s="6"/>
      <c r="Q41" s="6" t="s">
        <v>1157</v>
      </c>
      <c r="R41" s="16" t="s">
        <v>281</v>
      </c>
    </row>
    <row r="42" customFormat="false" ht="15" hidden="false" customHeight="false" outlineLevel="0" collapsed="false">
      <c r="B42" s="6" t="n">
        <v>5</v>
      </c>
      <c r="F42" s="6" t="s">
        <v>648</v>
      </c>
      <c r="G42" s="6" t="s">
        <v>225</v>
      </c>
      <c r="H42" s="6" t="n">
        <v>1</v>
      </c>
      <c r="I42" s="7" t="n">
        <v>0.4</v>
      </c>
      <c r="J42" s="7" t="n">
        <v>0.35</v>
      </c>
      <c r="K42" s="16" t="s">
        <v>226</v>
      </c>
      <c r="L42" s="7" t="n">
        <f aca="false">I42*J42</f>
        <v>0.14</v>
      </c>
      <c r="M42" s="7" t="n">
        <v>10.6</v>
      </c>
      <c r="N42" s="7" t="n">
        <v>-29.15</v>
      </c>
      <c r="O42" s="6" t="s">
        <v>594</v>
      </c>
      <c r="P42" s="6"/>
      <c r="Q42" s="6" t="s">
        <v>1158</v>
      </c>
      <c r="R42" s="16" t="s">
        <v>281</v>
      </c>
    </row>
    <row r="43" customFormat="false" ht="15" hidden="false" customHeight="false" outlineLevel="0" collapsed="false">
      <c r="B43" s="6" t="n">
        <v>5</v>
      </c>
      <c r="F43" s="6" t="s">
        <v>1159</v>
      </c>
      <c r="G43" s="6" t="s">
        <v>225</v>
      </c>
      <c r="H43" s="6" t="n">
        <v>1</v>
      </c>
      <c r="I43" s="7" t="n">
        <v>0.5</v>
      </c>
      <c r="J43" s="7" t="n">
        <v>0.33</v>
      </c>
      <c r="K43" s="16" t="s">
        <v>226</v>
      </c>
      <c r="L43" s="7" t="n">
        <f aca="false">I43*J43</f>
        <v>0.165</v>
      </c>
      <c r="M43" s="7" t="n">
        <v>9.95</v>
      </c>
      <c r="N43" s="7" t="n">
        <v>-27.6</v>
      </c>
      <c r="O43" s="6" t="s">
        <v>537</v>
      </c>
      <c r="P43" s="6"/>
      <c r="Q43" s="6" t="s">
        <v>1160</v>
      </c>
      <c r="R43" s="16" t="s">
        <v>281</v>
      </c>
    </row>
    <row r="44" customFormat="false" ht="15" hidden="false" customHeight="false" outlineLevel="0" collapsed="false">
      <c r="B44" s="6" t="n">
        <v>5</v>
      </c>
      <c r="F44" s="6" t="s">
        <v>1161</v>
      </c>
      <c r="G44" s="6" t="s">
        <v>225</v>
      </c>
      <c r="H44" s="6" t="n">
        <v>1</v>
      </c>
      <c r="I44" s="7" t="n">
        <v>0.6</v>
      </c>
      <c r="J44" s="7" t="n">
        <v>0.4</v>
      </c>
      <c r="K44" s="16" t="s">
        <v>226</v>
      </c>
      <c r="L44" s="7" t="n">
        <f aca="false">I44*J44</f>
        <v>0.24</v>
      </c>
      <c r="M44" s="7" t="n">
        <v>10.55</v>
      </c>
      <c r="N44" s="7" t="n">
        <v>-27.65</v>
      </c>
      <c r="O44" s="6" t="s">
        <v>476</v>
      </c>
      <c r="P44" s="6"/>
      <c r="Q44" s="6" t="s">
        <v>1162</v>
      </c>
      <c r="R44" s="16" t="s">
        <v>281</v>
      </c>
    </row>
    <row r="45" customFormat="false" ht="15" hidden="false" customHeight="false" outlineLevel="0" collapsed="false">
      <c r="B45" s="6" t="n">
        <v>5</v>
      </c>
      <c r="F45" s="6" t="s">
        <v>303</v>
      </c>
      <c r="G45" s="6" t="s">
        <v>237</v>
      </c>
      <c r="H45" s="6" t="n">
        <v>1</v>
      </c>
      <c r="I45" s="7" t="n">
        <v>0.6</v>
      </c>
      <c r="J45" s="7" t="n">
        <v>0.34</v>
      </c>
      <c r="K45" s="6" t="s">
        <v>220</v>
      </c>
      <c r="L45" s="7" t="n">
        <f aca="false">I45*J45</f>
        <v>0.204</v>
      </c>
      <c r="M45" s="7" t="n">
        <v>10.9</v>
      </c>
      <c r="N45" s="7" t="n">
        <v>-28.42</v>
      </c>
      <c r="O45" s="6" t="s">
        <v>621</v>
      </c>
      <c r="P45" s="6" t="s">
        <v>239</v>
      </c>
      <c r="Q45" s="6" t="s">
        <v>1163</v>
      </c>
    </row>
    <row r="46" customFormat="false" ht="22.35" hidden="false" customHeight="false" outlineLevel="0" collapsed="false">
      <c r="A46" s="12" t="s">
        <v>137</v>
      </c>
      <c r="B46" s="12"/>
      <c r="C46" s="12" t="s">
        <v>138</v>
      </c>
      <c r="D46" s="12"/>
      <c r="E46" s="12"/>
      <c r="F46" s="12" t="s">
        <v>207</v>
      </c>
      <c r="G46" s="12"/>
      <c r="H46" s="12"/>
      <c r="I46" s="13" t="n">
        <v>4</v>
      </c>
      <c r="J46" s="13" t="n">
        <v>1.6</v>
      </c>
      <c r="K46" s="12"/>
      <c r="L46" s="13" t="n">
        <f aca="false">I46*J46</f>
        <v>6.4</v>
      </c>
      <c r="M46" s="13" t="n">
        <v>3.1</v>
      </c>
      <c r="N46" s="13" t="n">
        <v>-29.9</v>
      </c>
      <c r="O46" s="12" t="s">
        <v>1164</v>
      </c>
      <c r="P46" s="12"/>
      <c r="Q46" s="12" t="s">
        <v>1165</v>
      </c>
      <c r="R46" s="12"/>
      <c r="S46" s="13" t="n">
        <f aca="false">SUM(L47:L51)</f>
        <v>1.854</v>
      </c>
      <c r="T46" s="14" t="n">
        <f aca="false">S46/L46</f>
        <v>0.2896875</v>
      </c>
    </row>
    <row r="47" customFormat="false" ht="22.35" hidden="false" customHeight="false" outlineLevel="0" collapsed="false">
      <c r="A47" s="9"/>
      <c r="B47" s="9" t="n">
        <v>6</v>
      </c>
      <c r="C47" s="9" t="s">
        <v>1166</v>
      </c>
      <c r="D47" s="9" t="n">
        <v>1</v>
      </c>
      <c r="E47" s="9" t="n">
        <v>1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 t="s">
        <v>1167</v>
      </c>
      <c r="Q47" s="9" t="s">
        <v>1168</v>
      </c>
      <c r="R47" s="17" t="s">
        <v>1098</v>
      </c>
      <c r="S47" s="9"/>
      <c r="T47" s="9"/>
    </row>
    <row r="48" customFormat="false" ht="15" hidden="false" customHeight="false" outlineLevel="0" collapsed="false">
      <c r="B48" s="6" t="n">
        <v>6</v>
      </c>
      <c r="F48" s="6" t="s">
        <v>1169</v>
      </c>
      <c r="G48" s="6" t="s">
        <v>213</v>
      </c>
      <c r="H48" s="6" t="n">
        <v>1</v>
      </c>
      <c r="I48" s="7" t="n">
        <v>1</v>
      </c>
      <c r="J48" s="7" t="n">
        <v>0.65</v>
      </c>
      <c r="K48" s="16" t="s">
        <v>226</v>
      </c>
      <c r="L48" s="7" t="n">
        <f aca="false">I48*J48</f>
        <v>0.65</v>
      </c>
      <c r="M48" s="7" t="n">
        <v>3.3</v>
      </c>
      <c r="N48" s="7" t="n">
        <v>-29.15</v>
      </c>
      <c r="O48" s="6" t="s">
        <v>537</v>
      </c>
      <c r="P48" s="6"/>
      <c r="Q48" s="6" t="s">
        <v>1170</v>
      </c>
      <c r="R48" s="16" t="s">
        <v>281</v>
      </c>
    </row>
    <row r="49" customFormat="false" ht="15" hidden="false" customHeight="false" outlineLevel="0" collapsed="false">
      <c r="B49" s="6" t="n">
        <v>6</v>
      </c>
      <c r="F49" s="6" t="s">
        <v>1171</v>
      </c>
      <c r="G49" s="6" t="s">
        <v>225</v>
      </c>
      <c r="H49" s="6" t="n">
        <v>1</v>
      </c>
      <c r="I49" s="7" t="n">
        <v>0.8</v>
      </c>
      <c r="J49" s="7" t="n">
        <v>0.65</v>
      </c>
      <c r="K49" s="16" t="s">
        <v>226</v>
      </c>
      <c r="L49" s="7" t="n">
        <f aca="false">I49*J49</f>
        <v>0.52</v>
      </c>
      <c r="M49" s="7" t="n">
        <v>4.4</v>
      </c>
      <c r="N49" s="7" t="n">
        <v>-29.15</v>
      </c>
      <c r="O49" s="6" t="s">
        <v>476</v>
      </c>
      <c r="P49" s="6"/>
      <c r="Q49" s="6" t="s">
        <v>1172</v>
      </c>
      <c r="R49" s="16" t="s">
        <v>281</v>
      </c>
    </row>
    <row r="50" customFormat="false" ht="15" hidden="false" customHeight="false" outlineLevel="0" collapsed="false">
      <c r="B50" s="6" t="n">
        <v>6</v>
      </c>
      <c r="F50" s="6" t="s">
        <v>1173</v>
      </c>
      <c r="G50" s="6" t="s">
        <v>225</v>
      </c>
      <c r="H50" s="6" t="n">
        <v>4</v>
      </c>
      <c r="I50" s="7" t="n">
        <v>1.6</v>
      </c>
      <c r="J50" s="7" t="n">
        <v>0.3</v>
      </c>
      <c r="K50" s="16" t="s">
        <v>226</v>
      </c>
      <c r="L50" s="7" t="n">
        <f aca="false">I50*J50</f>
        <v>0.48</v>
      </c>
      <c r="M50" s="7" t="n">
        <v>3.3</v>
      </c>
      <c r="N50" s="7" t="n">
        <v>-29.55</v>
      </c>
      <c r="O50" s="6" t="s">
        <v>386</v>
      </c>
      <c r="P50" s="6" t="s">
        <v>1174</v>
      </c>
      <c r="Q50" s="6" t="s">
        <v>1175</v>
      </c>
    </row>
    <row r="51" customFormat="false" ht="15" hidden="false" customHeight="false" outlineLevel="0" collapsed="false">
      <c r="B51" s="6" t="n">
        <v>6</v>
      </c>
      <c r="F51" s="6" t="s">
        <v>303</v>
      </c>
      <c r="G51" s="6" t="s">
        <v>237</v>
      </c>
      <c r="H51" s="6" t="n">
        <v>1</v>
      </c>
      <c r="I51" s="7" t="n">
        <v>0.6</v>
      </c>
      <c r="J51" s="7" t="n">
        <v>0.34</v>
      </c>
      <c r="K51" s="6" t="s">
        <v>220</v>
      </c>
      <c r="L51" s="7" t="n">
        <f aca="false">I51*J51</f>
        <v>0.204</v>
      </c>
      <c r="M51" s="7" t="n">
        <v>5.4</v>
      </c>
      <c r="N51" s="7" t="n">
        <v>-29.02</v>
      </c>
      <c r="O51" s="6" t="s">
        <v>389</v>
      </c>
      <c r="P51" s="6" t="s">
        <v>239</v>
      </c>
      <c r="Q51" s="6" t="s">
        <v>1176</v>
      </c>
    </row>
    <row r="52" customFormat="false" ht="22.35" hidden="false" customHeight="false" outlineLevel="0" collapsed="false">
      <c r="A52" s="12" t="s">
        <v>139</v>
      </c>
      <c r="B52" s="12"/>
      <c r="C52" s="12" t="s">
        <v>140</v>
      </c>
      <c r="D52" s="12"/>
      <c r="E52" s="12"/>
      <c r="F52" s="12" t="s">
        <v>207</v>
      </c>
      <c r="G52" s="12"/>
      <c r="H52" s="12"/>
      <c r="I52" s="13" t="n">
        <v>3.2</v>
      </c>
      <c r="J52" s="13" t="n">
        <v>1.8</v>
      </c>
      <c r="K52" s="12"/>
      <c r="L52" s="13" t="n">
        <f aca="false">I52*J52</f>
        <v>5.76</v>
      </c>
      <c r="M52" s="13" t="n">
        <v>9.4</v>
      </c>
      <c r="N52" s="13" t="n">
        <v>-27.2</v>
      </c>
      <c r="O52" s="12" t="s">
        <v>1177</v>
      </c>
      <c r="P52" s="12"/>
      <c r="Q52" s="12" t="s">
        <v>1178</v>
      </c>
      <c r="R52" s="12"/>
      <c r="S52" s="13" t="n">
        <f aca="false">SUM(L53:L57)</f>
        <v>1.424</v>
      </c>
      <c r="T52" s="14" t="n">
        <f aca="false">S52/L52</f>
        <v>0.247222222222222</v>
      </c>
    </row>
    <row r="53" customFormat="false" ht="22.35" hidden="false" customHeight="false" outlineLevel="0" collapsed="false">
      <c r="A53" s="9"/>
      <c r="B53" s="9" t="n">
        <v>7</v>
      </c>
      <c r="C53" s="9" t="s">
        <v>1179</v>
      </c>
      <c r="D53" s="9" t="n">
        <v>1</v>
      </c>
      <c r="E53" s="9" t="n">
        <v>1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 t="s">
        <v>1180</v>
      </c>
      <c r="Q53" s="9" t="s">
        <v>1181</v>
      </c>
      <c r="R53" s="17" t="s">
        <v>1098</v>
      </c>
      <c r="S53" s="9"/>
      <c r="T53" s="9"/>
    </row>
    <row r="54" customFormat="false" ht="15" hidden="false" customHeight="false" outlineLevel="0" collapsed="false">
      <c r="B54" s="6" t="n">
        <v>7</v>
      </c>
      <c r="F54" s="6" t="s">
        <v>1182</v>
      </c>
      <c r="G54" s="6" t="s">
        <v>213</v>
      </c>
      <c r="H54" s="6" t="n">
        <v>1</v>
      </c>
      <c r="I54" s="7" t="n">
        <v>0.8</v>
      </c>
      <c r="J54" s="7" t="n">
        <v>0.4</v>
      </c>
      <c r="K54" s="16" t="s">
        <v>226</v>
      </c>
      <c r="L54" s="7" t="n">
        <f aca="false">I54*J54</f>
        <v>0.32</v>
      </c>
      <c r="M54" s="7" t="n">
        <v>11.75</v>
      </c>
      <c r="N54" s="7" t="n">
        <v>-26.75</v>
      </c>
      <c r="O54" s="6" t="s">
        <v>389</v>
      </c>
      <c r="P54" s="6"/>
      <c r="Q54" s="6" t="s">
        <v>1183</v>
      </c>
      <c r="R54" s="16" t="s">
        <v>281</v>
      </c>
    </row>
    <row r="55" customFormat="false" ht="15" hidden="false" customHeight="false" outlineLevel="0" collapsed="false">
      <c r="B55" s="6" t="n">
        <v>7</v>
      </c>
      <c r="F55" s="6" t="s">
        <v>1184</v>
      </c>
      <c r="G55" s="6" t="s">
        <v>213</v>
      </c>
      <c r="H55" s="6" t="n">
        <v>1</v>
      </c>
      <c r="I55" s="7" t="n">
        <v>0.8</v>
      </c>
      <c r="J55" s="7" t="n">
        <v>0.75</v>
      </c>
      <c r="K55" s="16" t="s">
        <v>226</v>
      </c>
      <c r="L55" s="7" t="n">
        <f aca="false">I55*J55</f>
        <v>0.6</v>
      </c>
      <c r="M55" s="7" t="n">
        <v>11.75</v>
      </c>
      <c r="N55" s="7" t="n">
        <v>-26.25</v>
      </c>
      <c r="O55" s="6" t="s">
        <v>389</v>
      </c>
      <c r="P55" s="6"/>
      <c r="Q55" s="6" t="s">
        <v>1185</v>
      </c>
      <c r="R55" s="16" t="s">
        <v>281</v>
      </c>
    </row>
    <row r="56" customFormat="false" ht="15" hidden="false" customHeight="false" outlineLevel="0" collapsed="false">
      <c r="B56" s="6" t="n">
        <v>7</v>
      </c>
      <c r="F56" s="6" t="s">
        <v>1186</v>
      </c>
      <c r="G56" s="6" t="s">
        <v>225</v>
      </c>
      <c r="H56" s="6" t="n">
        <v>3</v>
      </c>
      <c r="I56" s="7" t="n">
        <v>1</v>
      </c>
      <c r="J56" s="7" t="n">
        <v>0.3</v>
      </c>
      <c r="K56" s="16" t="s">
        <v>226</v>
      </c>
      <c r="L56" s="7" t="n">
        <f aca="false">I56*J56</f>
        <v>0.3</v>
      </c>
      <c r="M56" s="7" t="n">
        <v>9.6</v>
      </c>
      <c r="N56" s="7" t="n">
        <v>-25.9</v>
      </c>
      <c r="O56" s="6" t="s">
        <v>594</v>
      </c>
      <c r="P56" s="6" t="s">
        <v>1187</v>
      </c>
      <c r="Q56" s="6" t="s">
        <v>1188</v>
      </c>
    </row>
    <row r="57" customFormat="false" ht="15" hidden="false" customHeight="false" outlineLevel="0" collapsed="false">
      <c r="B57" s="6" t="n">
        <v>7</v>
      </c>
      <c r="F57" s="6" t="s">
        <v>303</v>
      </c>
      <c r="G57" s="6" t="s">
        <v>237</v>
      </c>
      <c r="H57" s="6" t="n">
        <v>1</v>
      </c>
      <c r="I57" s="7" t="n">
        <v>0.6</v>
      </c>
      <c r="J57" s="7" t="n">
        <v>0.34</v>
      </c>
      <c r="K57" s="6" t="s">
        <v>220</v>
      </c>
      <c r="L57" s="7" t="n">
        <f aca="false">I57*J57</f>
        <v>0.204</v>
      </c>
      <c r="M57" s="7" t="n">
        <v>10.85</v>
      </c>
      <c r="N57" s="7" t="n">
        <v>-26.37</v>
      </c>
      <c r="O57" s="6" t="s">
        <v>621</v>
      </c>
      <c r="P57" s="6" t="s">
        <v>239</v>
      </c>
      <c r="Q57" s="6" t="s">
        <v>1189</v>
      </c>
    </row>
    <row r="58" customFormat="false" ht="22.35" hidden="false" customHeight="false" outlineLevel="0" collapsed="false">
      <c r="A58" s="12" t="s">
        <v>141</v>
      </c>
      <c r="B58" s="12"/>
      <c r="C58" s="12" t="s">
        <v>142</v>
      </c>
      <c r="D58" s="12"/>
      <c r="E58" s="12"/>
      <c r="F58" s="12" t="s">
        <v>207</v>
      </c>
      <c r="G58" s="12"/>
      <c r="H58" s="12"/>
      <c r="I58" s="13" t="n">
        <v>2</v>
      </c>
      <c r="J58" s="13" t="n">
        <v>3.05</v>
      </c>
      <c r="K58" s="12"/>
      <c r="L58" s="13" t="n">
        <f aca="false">I58*J58</f>
        <v>6.1</v>
      </c>
      <c r="M58" s="13" t="n">
        <v>1.1</v>
      </c>
      <c r="N58" s="13" t="n">
        <v>-24.95</v>
      </c>
      <c r="O58" s="12" t="s">
        <v>1190</v>
      </c>
      <c r="P58" s="12"/>
      <c r="Q58" s="12" t="s">
        <v>1191</v>
      </c>
      <c r="R58" s="12"/>
      <c r="S58" s="13" t="n">
        <f aca="false">SUM(L59:L64)</f>
        <v>2.148</v>
      </c>
      <c r="T58" s="14" t="n">
        <f aca="false">S58/L58</f>
        <v>0.352131147540984</v>
      </c>
    </row>
    <row r="59" customFormat="false" ht="22.35" hidden="false" customHeight="false" outlineLevel="0" collapsed="false">
      <c r="A59" s="9"/>
      <c r="B59" s="9" t="n">
        <v>8</v>
      </c>
      <c r="C59" s="9" t="s">
        <v>1192</v>
      </c>
      <c r="D59" s="9" t="n">
        <v>2</v>
      </c>
      <c r="E59" s="9" t="n">
        <v>2</v>
      </c>
      <c r="F59" s="9"/>
      <c r="G59" s="9"/>
      <c r="H59" s="9"/>
      <c r="I59" s="9"/>
      <c r="J59" s="9"/>
      <c r="K59" s="9"/>
      <c r="L59" s="9"/>
      <c r="M59" s="9"/>
      <c r="N59" s="9"/>
      <c r="O59" s="9"/>
      <c r="P59" s="9" t="s">
        <v>1193</v>
      </c>
      <c r="Q59" s="9" t="s">
        <v>1194</v>
      </c>
      <c r="R59" s="17" t="s">
        <v>1098</v>
      </c>
      <c r="S59" s="9"/>
      <c r="T59" s="9"/>
    </row>
    <row r="60" customFormat="false" ht="15" hidden="false" customHeight="false" outlineLevel="0" collapsed="false">
      <c r="B60" s="6" t="n">
        <v>8</v>
      </c>
      <c r="F60" s="6" t="s">
        <v>1195</v>
      </c>
      <c r="G60" s="6" t="s">
        <v>213</v>
      </c>
      <c r="H60" s="6" t="n">
        <v>1</v>
      </c>
      <c r="I60" s="7" t="n">
        <v>0.85</v>
      </c>
      <c r="J60" s="7" t="n">
        <v>0.9</v>
      </c>
      <c r="K60" s="16" t="s">
        <v>226</v>
      </c>
      <c r="L60" s="7" t="n">
        <f aca="false">I60*J60</f>
        <v>0.765</v>
      </c>
      <c r="M60" s="7" t="n">
        <v>2</v>
      </c>
      <c r="N60" s="7" t="n">
        <v>-24.45</v>
      </c>
      <c r="O60" s="6" t="s">
        <v>389</v>
      </c>
      <c r="P60" s="6"/>
      <c r="Q60" s="6" t="s">
        <v>1196</v>
      </c>
      <c r="R60" s="16" t="s">
        <v>281</v>
      </c>
    </row>
    <row r="61" customFormat="false" ht="15" hidden="false" customHeight="false" outlineLevel="0" collapsed="false">
      <c r="B61" s="6" t="n">
        <v>8</v>
      </c>
      <c r="F61" s="6" t="s">
        <v>1197</v>
      </c>
      <c r="G61" s="6" t="s">
        <v>213</v>
      </c>
      <c r="H61" s="6" t="n">
        <v>1</v>
      </c>
      <c r="I61" s="7" t="n">
        <v>0.85</v>
      </c>
      <c r="J61" s="7" t="n">
        <v>0.9</v>
      </c>
      <c r="K61" s="16" t="s">
        <v>226</v>
      </c>
      <c r="L61" s="7" t="n">
        <f aca="false">I61*J61</f>
        <v>0.765</v>
      </c>
      <c r="M61" s="7" t="n">
        <v>2</v>
      </c>
      <c r="N61" s="7" t="n">
        <v>-23.4</v>
      </c>
      <c r="O61" s="6" t="s">
        <v>389</v>
      </c>
      <c r="P61" s="6"/>
      <c r="Q61" s="6" t="s">
        <v>1198</v>
      </c>
      <c r="R61" s="16" t="s">
        <v>281</v>
      </c>
    </row>
    <row r="62" customFormat="false" ht="15" hidden="false" customHeight="false" outlineLevel="0" collapsed="false">
      <c r="B62" s="6" t="n">
        <v>8</v>
      </c>
      <c r="F62" s="6" t="s">
        <v>1199</v>
      </c>
      <c r="G62" s="6" t="s">
        <v>225</v>
      </c>
      <c r="H62" s="6" t="n">
        <v>1</v>
      </c>
      <c r="I62" s="7" t="n">
        <v>0.3</v>
      </c>
      <c r="J62" s="7" t="n">
        <v>0.7</v>
      </c>
      <c r="K62" s="16" t="s">
        <v>226</v>
      </c>
      <c r="L62" s="7" t="n">
        <f aca="false">I62*J62</f>
        <v>0.21</v>
      </c>
      <c r="M62" s="7" t="n">
        <v>2.95</v>
      </c>
      <c r="N62" s="7" t="n">
        <v>-24.45</v>
      </c>
      <c r="O62" s="6" t="s">
        <v>1200</v>
      </c>
      <c r="P62" s="6" t="s">
        <v>1201</v>
      </c>
      <c r="Q62" s="6" t="s">
        <v>1202</v>
      </c>
      <c r="R62" s="16" t="s">
        <v>1203</v>
      </c>
    </row>
    <row r="63" customFormat="false" ht="15" hidden="false" customHeight="false" outlineLevel="0" collapsed="false">
      <c r="B63" s="6" t="n">
        <v>8</v>
      </c>
      <c r="F63" s="6" t="s">
        <v>492</v>
      </c>
      <c r="G63" s="6" t="s">
        <v>237</v>
      </c>
      <c r="H63" s="6" t="n">
        <v>1</v>
      </c>
      <c r="I63" s="7" t="n">
        <v>0.6</v>
      </c>
      <c r="J63" s="7" t="n">
        <v>0.34</v>
      </c>
      <c r="K63" s="6" t="s">
        <v>220</v>
      </c>
      <c r="L63" s="7" t="n">
        <f aca="false">I63*J63</f>
        <v>0.204</v>
      </c>
      <c r="M63" s="7" t="n">
        <v>1.25</v>
      </c>
      <c r="N63" s="7" t="n">
        <v>-24.17</v>
      </c>
      <c r="O63" s="6" t="s">
        <v>594</v>
      </c>
      <c r="P63" s="6" t="s">
        <v>239</v>
      </c>
      <c r="Q63" s="6" t="s">
        <v>1204</v>
      </c>
    </row>
    <row r="64" customFormat="false" ht="15" hidden="false" customHeight="false" outlineLevel="0" collapsed="false">
      <c r="B64" s="6" t="n">
        <v>8</v>
      </c>
      <c r="F64" s="6" t="s">
        <v>495</v>
      </c>
      <c r="G64" s="6" t="s">
        <v>237</v>
      </c>
      <c r="H64" s="6" t="n">
        <v>1</v>
      </c>
      <c r="I64" s="7" t="n">
        <v>0.6</v>
      </c>
      <c r="J64" s="7" t="n">
        <v>0.34</v>
      </c>
      <c r="K64" s="6" t="s">
        <v>220</v>
      </c>
      <c r="L64" s="7" t="n">
        <f aca="false">I64*J64</f>
        <v>0.204</v>
      </c>
      <c r="M64" s="7" t="n">
        <v>1.25</v>
      </c>
      <c r="N64" s="7" t="n">
        <v>-23.12</v>
      </c>
      <c r="O64" s="6" t="s">
        <v>594</v>
      </c>
      <c r="P64" s="6" t="s">
        <v>239</v>
      </c>
      <c r="Q64" s="6" t="s">
        <v>1205</v>
      </c>
    </row>
    <row r="65" customFormat="false" ht="22.35" hidden="false" customHeight="false" outlineLevel="0" collapsed="false">
      <c r="A65" s="12" t="s">
        <v>143</v>
      </c>
      <c r="B65" s="12"/>
      <c r="C65" s="12" t="s">
        <v>144</v>
      </c>
      <c r="D65" s="12"/>
      <c r="E65" s="12"/>
      <c r="F65" s="12" t="s">
        <v>207</v>
      </c>
      <c r="G65" s="12"/>
      <c r="H65" s="12"/>
      <c r="I65" s="13" t="n">
        <v>3.2</v>
      </c>
      <c r="J65" s="13" t="n">
        <v>1.8</v>
      </c>
      <c r="K65" s="12"/>
      <c r="L65" s="13" t="n">
        <f aca="false">I65*J65</f>
        <v>5.76</v>
      </c>
      <c r="M65" s="13" t="n">
        <v>9.4</v>
      </c>
      <c r="N65" s="13" t="n">
        <v>-25.4</v>
      </c>
      <c r="O65" s="12" t="s">
        <v>1206</v>
      </c>
      <c r="P65" s="12"/>
      <c r="Q65" s="12" t="s">
        <v>1207</v>
      </c>
      <c r="R65" s="12"/>
      <c r="S65" s="13" t="n">
        <f aca="false">SUM(L66:L70)</f>
        <v>1.8165</v>
      </c>
      <c r="T65" s="14" t="n">
        <f aca="false">S65/L65</f>
        <v>0.315364583333333</v>
      </c>
    </row>
    <row r="66" customFormat="false" ht="22.35" hidden="false" customHeight="false" outlineLevel="0" collapsed="false">
      <c r="A66" s="9"/>
      <c r="B66" s="9" t="n">
        <v>9</v>
      </c>
      <c r="C66" s="9" t="s">
        <v>1208</v>
      </c>
      <c r="D66" s="9" t="n">
        <v>1</v>
      </c>
      <c r="E66" s="9" t="n">
        <v>1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 t="s">
        <v>1209</v>
      </c>
      <c r="Q66" s="9" t="s">
        <v>1210</v>
      </c>
      <c r="R66" s="17" t="s">
        <v>1098</v>
      </c>
      <c r="S66" s="9"/>
      <c r="T66" s="9"/>
    </row>
    <row r="67" customFormat="false" ht="15" hidden="false" customHeight="false" outlineLevel="0" collapsed="false">
      <c r="B67" s="6" t="n">
        <v>9</v>
      </c>
      <c r="F67" s="6" t="s">
        <v>1211</v>
      </c>
      <c r="G67" s="6" t="s">
        <v>213</v>
      </c>
      <c r="H67" s="6" t="n">
        <v>1</v>
      </c>
      <c r="I67" s="7" t="n">
        <v>0.8</v>
      </c>
      <c r="J67" s="7" t="n">
        <v>1.2</v>
      </c>
      <c r="K67" s="16" t="s">
        <v>226</v>
      </c>
      <c r="L67" s="7" t="n">
        <f aca="false">I67*J67</f>
        <v>0.96</v>
      </c>
      <c r="M67" s="7" t="n">
        <v>11.75</v>
      </c>
      <c r="N67" s="7" t="n">
        <v>-24.95</v>
      </c>
      <c r="O67" s="6" t="s">
        <v>389</v>
      </c>
      <c r="P67" s="6"/>
      <c r="Q67" s="6" t="s">
        <v>1212</v>
      </c>
      <c r="R67" s="16" t="s">
        <v>281</v>
      </c>
    </row>
    <row r="68" customFormat="false" ht="15" hidden="false" customHeight="false" outlineLevel="0" collapsed="false">
      <c r="B68" s="6" t="n">
        <v>9</v>
      </c>
      <c r="F68" s="6" t="s">
        <v>1213</v>
      </c>
      <c r="G68" s="6" t="s">
        <v>225</v>
      </c>
      <c r="H68" s="6" t="n">
        <v>1</v>
      </c>
      <c r="I68" s="7" t="n">
        <v>0.9</v>
      </c>
      <c r="J68" s="7" t="n">
        <v>0.4</v>
      </c>
      <c r="K68" s="16" t="s">
        <v>226</v>
      </c>
      <c r="L68" s="7" t="n">
        <f aca="false">I68*J68</f>
        <v>0.36</v>
      </c>
      <c r="M68" s="7" t="n">
        <v>9.95</v>
      </c>
      <c r="N68" s="7" t="n">
        <v>-24.05</v>
      </c>
      <c r="O68" s="6" t="s">
        <v>537</v>
      </c>
      <c r="P68" s="6"/>
      <c r="Q68" s="6" t="s">
        <v>1214</v>
      </c>
      <c r="R68" s="16" t="s">
        <v>281</v>
      </c>
    </row>
    <row r="69" customFormat="false" ht="15" hidden="false" customHeight="false" outlineLevel="0" collapsed="false">
      <c r="B69" s="6" t="n">
        <v>9</v>
      </c>
      <c r="F69" s="6" t="s">
        <v>1215</v>
      </c>
      <c r="G69" s="6" t="s">
        <v>225</v>
      </c>
      <c r="H69" s="6" t="n">
        <v>1</v>
      </c>
      <c r="I69" s="7" t="n">
        <v>0.65</v>
      </c>
      <c r="J69" s="7" t="n">
        <v>0.45</v>
      </c>
      <c r="K69" s="16" t="s">
        <v>226</v>
      </c>
      <c r="L69" s="7" t="n">
        <f aca="false">I69*J69</f>
        <v>0.2925</v>
      </c>
      <c r="M69" s="7" t="n">
        <v>10.95</v>
      </c>
      <c r="N69" s="7" t="n">
        <v>-24.1</v>
      </c>
      <c r="O69" s="6" t="s">
        <v>476</v>
      </c>
      <c r="P69" s="6"/>
      <c r="Q69" s="6" t="s">
        <v>1216</v>
      </c>
      <c r="R69" s="16" t="s">
        <v>281</v>
      </c>
    </row>
    <row r="70" customFormat="false" ht="15" hidden="false" customHeight="false" outlineLevel="0" collapsed="false">
      <c r="B70" s="6" t="n">
        <v>9</v>
      </c>
      <c r="F70" s="6" t="s">
        <v>303</v>
      </c>
      <c r="G70" s="6" t="s">
        <v>237</v>
      </c>
      <c r="H70" s="6" t="n">
        <v>1</v>
      </c>
      <c r="I70" s="7" t="n">
        <v>0.6</v>
      </c>
      <c r="J70" s="7" t="n">
        <v>0.34</v>
      </c>
      <c r="K70" s="6" t="s">
        <v>220</v>
      </c>
      <c r="L70" s="7" t="n">
        <f aca="false">I70*J70</f>
        <v>0.204</v>
      </c>
      <c r="M70" s="7" t="n">
        <v>10.85</v>
      </c>
      <c r="N70" s="7" t="n">
        <v>-24.77</v>
      </c>
      <c r="O70" s="6" t="s">
        <v>621</v>
      </c>
      <c r="P70" s="6" t="s">
        <v>239</v>
      </c>
      <c r="Q70" s="6" t="s">
        <v>1217</v>
      </c>
    </row>
    <row r="71" customFormat="false" ht="32.8" hidden="false" customHeight="false" outlineLevel="0" collapsed="false">
      <c r="A71" s="12" t="s">
        <v>145</v>
      </c>
      <c r="B71" s="12"/>
      <c r="C71" s="12" t="s">
        <v>146</v>
      </c>
      <c r="D71" s="12"/>
      <c r="E71" s="12"/>
      <c r="F71" s="12" t="s">
        <v>207</v>
      </c>
      <c r="G71" s="12"/>
      <c r="H71" s="12"/>
      <c r="I71" s="13" t="n">
        <v>3.2</v>
      </c>
      <c r="J71" s="13" t="n">
        <v>3.6</v>
      </c>
      <c r="K71" s="12"/>
      <c r="L71" s="13" t="n">
        <f aca="false">I71*J71</f>
        <v>11.52</v>
      </c>
      <c r="M71" s="13" t="n">
        <v>9.4</v>
      </c>
      <c r="N71" s="13" t="n">
        <v>-21.1</v>
      </c>
      <c r="O71" s="12" t="s">
        <v>1218</v>
      </c>
      <c r="P71" s="12"/>
      <c r="Q71" s="12" t="s">
        <v>1219</v>
      </c>
      <c r="R71" s="12"/>
      <c r="S71" s="13" t="n">
        <f aca="false">SUM(L72:L79)</f>
        <v>5.904</v>
      </c>
      <c r="T71" s="14" t="n">
        <f aca="false">S71/L71</f>
        <v>0.5125</v>
      </c>
    </row>
    <row r="72" customFormat="false" ht="22.35" hidden="false" customHeight="false" outlineLevel="0" collapsed="false">
      <c r="A72" s="9"/>
      <c r="B72" s="9" t="n">
        <v>10</v>
      </c>
      <c r="C72" s="9" t="s">
        <v>1220</v>
      </c>
      <c r="D72" s="9" t="n">
        <v>1</v>
      </c>
      <c r="E72" s="9" t="n">
        <v>1</v>
      </c>
      <c r="F72" s="9"/>
      <c r="G72" s="9"/>
      <c r="H72" s="9"/>
      <c r="I72" s="9"/>
      <c r="J72" s="9"/>
      <c r="K72" s="9"/>
      <c r="L72" s="9"/>
      <c r="M72" s="9"/>
      <c r="N72" s="9"/>
      <c r="O72" s="9"/>
      <c r="P72" s="9" t="s">
        <v>1221</v>
      </c>
      <c r="Q72" s="9" t="s">
        <v>1222</v>
      </c>
      <c r="R72" s="17" t="s">
        <v>1098</v>
      </c>
      <c r="S72" s="9"/>
      <c r="T72" s="9"/>
    </row>
    <row r="73" customFormat="false" ht="15" hidden="false" customHeight="false" outlineLevel="0" collapsed="false">
      <c r="B73" s="6" t="n">
        <v>10</v>
      </c>
      <c r="F73" s="6" t="s">
        <v>1223</v>
      </c>
      <c r="G73" s="6" t="s">
        <v>213</v>
      </c>
      <c r="H73" s="6" t="n">
        <v>1</v>
      </c>
      <c r="I73" s="7" t="n">
        <v>0.75</v>
      </c>
      <c r="J73" s="7" t="n">
        <v>0.65</v>
      </c>
      <c r="K73" s="16" t="s">
        <v>226</v>
      </c>
      <c r="L73" s="7" t="n">
        <f aca="false">I73*J73</f>
        <v>0.4875</v>
      </c>
      <c r="M73" s="7" t="n">
        <v>9.95</v>
      </c>
      <c r="N73" s="7" t="n">
        <v>-20.1</v>
      </c>
      <c r="O73" s="6" t="s">
        <v>594</v>
      </c>
      <c r="P73" s="6"/>
      <c r="Q73" s="6" t="s">
        <v>1224</v>
      </c>
      <c r="R73" s="16" t="s">
        <v>281</v>
      </c>
    </row>
    <row r="74" customFormat="false" ht="15" hidden="false" customHeight="false" outlineLevel="0" collapsed="false">
      <c r="B74" s="6" t="n">
        <v>10</v>
      </c>
      <c r="F74" s="6" t="s">
        <v>1225</v>
      </c>
      <c r="G74" s="6" t="s">
        <v>213</v>
      </c>
      <c r="H74" s="6" t="n">
        <v>1</v>
      </c>
      <c r="I74" s="7" t="n">
        <v>0.8</v>
      </c>
      <c r="J74" s="7" t="n">
        <v>0.65</v>
      </c>
      <c r="K74" s="16" t="s">
        <v>226</v>
      </c>
      <c r="L74" s="7" t="n">
        <f aca="false">I74*J74</f>
        <v>0.52</v>
      </c>
      <c r="M74" s="7" t="n">
        <v>10.85</v>
      </c>
      <c r="N74" s="7" t="n">
        <v>-20.1</v>
      </c>
      <c r="O74" s="6" t="s">
        <v>594</v>
      </c>
      <c r="P74" s="6"/>
      <c r="Q74" s="6" t="s">
        <v>1226</v>
      </c>
      <c r="R74" s="16" t="s">
        <v>281</v>
      </c>
    </row>
    <row r="75" customFormat="false" ht="15" hidden="false" customHeight="false" outlineLevel="0" collapsed="false">
      <c r="B75" s="6" t="n">
        <v>10</v>
      </c>
      <c r="F75" s="6" t="s">
        <v>1227</v>
      </c>
      <c r="G75" s="6" t="s">
        <v>225</v>
      </c>
      <c r="H75" s="6" t="n">
        <v>1</v>
      </c>
      <c r="I75" s="7" t="n">
        <v>1.85</v>
      </c>
      <c r="J75" s="7" t="n">
        <v>0.85</v>
      </c>
      <c r="K75" s="16" t="s">
        <v>226</v>
      </c>
      <c r="L75" s="7" t="n">
        <f aca="false">I75*J75</f>
        <v>1.5725</v>
      </c>
      <c r="M75" s="7" t="n">
        <v>9.85</v>
      </c>
      <c r="N75" s="7" t="n">
        <v>-20.2</v>
      </c>
      <c r="O75" s="6" t="s">
        <v>594</v>
      </c>
      <c r="P75" s="6"/>
      <c r="Q75" s="6" t="s">
        <v>1228</v>
      </c>
      <c r="R75" s="16" t="s">
        <v>281</v>
      </c>
    </row>
    <row r="76" customFormat="false" ht="15" hidden="false" customHeight="false" outlineLevel="0" collapsed="false">
      <c r="B76" s="6" t="n">
        <v>10</v>
      </c>
      <c r="F76" s="6" t="s">
        <v>1229</v>
      </c>
      <c r="G76" s="6" t="s">
        <v>225</v>
      </c>
      <c r="H76" s="6" t="n">
        <v>1</v>
      </c>
      <c r="I76" s="7" t="n">
        <v>0.6</v>
      </c>
      <c r="J76" s="7" t="n">
        <v>1.75</v>
      </c>
      <c r="K76" s="16" t="s">
        <v>226</v>
      </c>
      <c r="L76" s="7" t="n">
        <f aca="false">I76*J76</f>
        <v>1.05</v>
      </c>
      <c r="M76" s="7" t="n">
        <v>11.95</v>
      </c>
      <c r="N76" s="7" t="n">
        <v>-20.95</v>
      </c>
      <c r="O76" s="6" t="s">
        <v>389</v>
      </c>
      <c r="P76" s="6" t="s">
        <v>1230</v>
      </c>
      <c r="Q76" s="6" t="s">
        <v>1231</v>
      </c>
      <c r="R76" s="16" t="s">
        <v>281</v>
      </c>
    </row>
    <row r="77" customFormat="false" ht="15" hidden="false" customHeight="false" outlineLevel="0" collapsed="false">
      <c r="B77" s="6" t="n">
        <v>10</v>
      </c>
      <c r="F77" s="6" t="s">
        <v>1232</v>
      </c>
      <c r="G77" s="6" t="s">
        <v>225</v>
      </c>
      <c r="H77" s="6" t="n">
        <v>1</v>
      </c>
      <c r="I77" s="7" t="n">
        <v>0.75</v>
      </c>
      <c r="J77" s="7" t="n">
        <v>0.4</v>
      </c>
      <c r="K77" s="16" t="s">
        <v>226</v>
      </c>
      <c r="L77" s="7" t="n">
        <f aca="false">I77*J77</f>
        <v>0.3</v>
      </c>
      <c r="M77" s="7" t="n">
        <v>10.05</v>
      </c>
      <c r="N77" s="7" t="n">
        <v>-20.75</v>
      </c>
      <c r="O77" s="6" t="s">
        <v>386</v>
      </c>
      <c r="P77" s="6"/>
      <c r="Q77" s="6" t="s">
        <v>1233</v>
      </c>
      <c r="R77" s="16" t="s">
        <v>281</v>
      </c>
    </row>
    <row r="78" customFormat="false" ht="15" hidden="false" customHeight="false" outlineLevel="0" collapsed="false">
      <c r="B78" s="6" t="n">
        <v>10</v>
      </c>
      <c r="F78" s="6" t="s">
        <v>1234</v>
      </c>
      <c r="G78" s="6" t="s">
        <v>225</v>
      </c>
      <c r="H78" s="6" t="n">
        <v>1</v>
      </c>
      <c r="I78" s="7" t="n">
        <v>2.95</v>
      </c>
      <c r="J78" s="7" t="n">
        <v>0.6</v>
      </c>
      <c r="K78" s="16" t="s">
        <v>226</v>
      </c>
      <c r="L78" s="7" t="n">
        <f aca="false">I78*J78</f>
        <v>1.77</v>
      </c>
      <c r="M78" s="7" t="n">
        <v>9.55</v>
      </c>
      <c r="N78" s="7" t="n">
        <v>-18.25</v>
      </c>
      <c r="O78" s="6" t="s">
        <v>457</v>
      </c>
      <c r="P78" s="6"/>
      <c r="Q78" s="6" t="s">
        <v>1235</v>
      </c>
      <c r="R78" s="16" t="s">
        <v>914</v>
      </c>
    </row>
    <row r="79" customFormat="false" ht="15" hidden="false" customHeight="false" outlineLevel="0" collapsed="false">
      <c r="B79" s="6" t="n">
        <v>10</v>
      </c>
      <c r="F79" s="6" t="s">
        <v>303</v>
      </c>
      <c r="G79" s="6" t="s">
        <v>237</v>
      </c>
      <c r="H79" s="6" t="n">
        <v>1</v>
      </c>
      <c r="I79" s="7" t="n">
        <v>0.6</v>
      </c>
      <c r="J79" s="7" t="n">
        <v>0.34</v>
      </c>
      <c r="K79" s="6" t="s">
        <v>220</v>
      </c>
      <c r="L79" s="7" t="n">
        <f aca="false">I79*J79</f>
        <v>0.204</v>
      </c>
      <c r="M79" s="7" t="n">
        <v>11</v>
      </c>
      <c r="N79" s="7" t="n">
        <v>-20.52</v>
      </c>
      <c r="O79" s="6" t="s">
        <v>621</v>
      </c>
      <c r="P79" s="6" t="s">
        <v>239</v>
      </c>
      <c r="Q79" s="6" t="s">
        <v>1236</v>
      </c>
    </row>
    <row r="80" customFormat="false" ht="22.35" hidden="false" customHeight="false" outlineLevel="0" collapsed="false">
      <c r="A80" s="12" t="s">
        <v>147</v>
      </c>
      <c r="B80" s="12"/>
      <c r="C80" s="12" t="s">
        <v>148</v>
      </c>
      <c r="D80" s="12"/>
      <c r="E80" s="12"/>
      <c r="F80" s="12" t="s">
        <v>207</v>
      </c>
      <c r="G80" s="12"/>
      <c r="H80" s="12"/>
      <c r="I80" s="13" t="n">
        <v>4</v>
      </c>
      <c r="J80" s="13" t="n">
        <v>2.9</v>
      </c>
      <c r="K80" s="12"/>
      <c r="L80" s="13" t="n">
        <f aca="false">I80*J80</f>
        <v>11.6</v>
      </c>
      <c r="M80" s="13" t="n">
        <v>3.1</v>
      </c>
      <c r="N80" s="13" t="n">
        <v>-24.9</v>
      </c>
      <c r="O80" s="12" t="s">
        <v>1237</v>
      </c>
      <c r="P80" s="12"/>
      <c r="Q80" s="12" t="s">
        <v>1238</v>
      </c>
      <c r="R80" s="12"/>
      <c r="S80" s="13" t="n">
        <f aca="false">SUM(L81:L86)</f>
        <v>2.2116</v>
      </c>
      <c r="T80" s="14" t="n">
        <f aca="false">S80/L80</f>
        <v>0.190655172413793</v>
      </c>
    </row>
    <row r="81" customFormat="false" ht="22.35" hidden="false" customHeight="false" outlineLevel="0" collapsed="false">
      <c r="A81" s="9"/>
      <c r="B81" s="9" t="n">
        <v>11</v>
      </c>
      <c r="C81" s="9" t="s">
        <v>524</v>
      </c>
      <c r="D81" s="9" t="n">
        <v>1</v>
      </c>
      <c r="E81" s="9" t="n">
        <v>2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 t="s">
        <v>1239</v>
      </c>
      <c r="Q81" s="9" t="s">
        <v>1240</v>
      </c>
      <c r="R81" s="17" t="s">
        <v>1098</v>
      </c>
      <c r="S81" s="9"/>
      <c r="T81" s="9"/>
    </row>
    <row r="82" customFormat="false" ht="22.35" hidden="false" customHeight="false" outlineLevel="0" collapsed="false">
      <c r="B82" s="6" t="n">
        <v>11</v>
      </c>
      <c r="F82" s="6" t="s">
        <v>1241</v>
      </c>
      <c r="G82" s="6" t="s">
        <v>213</v>
      </c>
      <c r="H82" s="6" t="n">
        <v>1</v>
      </c>
      <c r="I82" s="7" t="n">
        <v>1.2</v>
      </c>
      <c r="J82" s="7" t="n">
        <v>1.05</v>
      </c>
      <c r="K82" s="16" t="s">
        <v>226</v>
      </c>
      <c r="L82" s="7" t="n">
        <f aca="false">I82*J82</f>
        <v>1.26</v>
      </c>
      <c r="M82" s="7" t="n">
        <v>3.3</v>
      </c>
      <c r="N82" s="7" t="n">
        <v>-24</v>
      </c>
      <c r="O82" s="6" t="s">
        <v>594</v>
      </c>
      <c r="P82" s="6" t="s">
        <v>1242</v>
      </c>
      <c r="Q82" s="6" t="s">
        <v>1243</v>
      </c>
      <c r="R82" s="16" t="s">
        <v>281</v>
      </c>
    </row>
    <row r="83" customFormat="false" ht="15" hidden="false" customHeight="false" outlineLevel="0" collapsed="false">
      <c r="B83" s="6" t="n">
        <v>11</v>
      </c>
      <c r="F83" s="6" t="s">
        <v>1244</v>
      </c>
      <c r="G83" s="6" t="s">
        <v>225</v>
      </c>
      <c r="H83" s="6" t="n">
        <v>1</v>
      </c>
      <c r="I83" s="7" t="n">
        <v>0.54</v>
      </c>
      <c r="J83" s="7" t="n">
        <v>0.54</v>
      </c>
      <c r="K83" s="16" t="s">
        <v>226</v>
      </c>
      <c r="L83" s="7" t="n">
        <f aca="false">I83*J83</f>
        <v>0.2916</v>
      </c>
      <c r="M83" s="7" t="n">
        <v>4.78</v>
      </c>
      <c r="N83" s="7" t="n">
        <v>-23.22</v>
      </c>
      <c r="O83" s="6" t="s">
        <v>389</v>
      </c>
      <c r="P83" s="6" t="s">
        <v>1245</v>
      </c>
      <c r="Q83" s="6" t="s">
        <v>1246</v>
      </c>
      <c r="R83" s="16" t="s">
        <v>281</v>
      </c>
    </row>
    <row r="84" customFormat="false" ht="15" hidden="false" customHeight="false" outlineLevel="0" collapsed="false">
      <c r="B84" s="6" t="n">
        <v>11</v>
      </c>
      <c r="F84" s="6" t="s">
        <v>303</v>
      </c>
      <c r="G84" s="6" t="s">
        <v>237</v>
      </c>
      <c r="H84" s="6" t="n">
        <v>1</v>
      </c>
      <c r="I84" s="7" t="n">
        <v>0.6</v>
      </c>
      <c r="J84" s="7" t="n">
        <v>0.34</v>
      </c>
      <c r="K84" s="6" t="s">
        <v>220</v>
      </c>
      <c r="L84" s="7" t="n">
        <f aca="false">I84*J84</f>
        <v>0.204</v>
      </c>
      <c r="M84" s="7" t="n">
        <v>5.25</v>
      </c>
      <c r="N84" s="7" t="n">
        <v>-23.52</v>
      </c>
      <c r="O84" s="6" t="s">
        <v>389</v>
      </c>
      <c r="P84" s="6" t="s">
        <v>239</v>
      </c>
      <c r="Q84" s="6" t="s">
        <v>1247</v>
      </c>
    </row>
    <row r="85" customFormat="false" ht="22.35" hidden="false" customHeight="false" outlineLevel="0" collapsed="false">
      <c r="A85" s="9"/>
      <c r="B85" s="9" t="n">
        <v>23</v>
      </c>
      <c r="C85" s="9" t="s">
        <v>1248</v>
      </c>
      <c r="D85" s="9" t="n">
        <v>1</v>
      </c>
      <c r="E85" s="9" t="n">
        <v>1</v>
      </c>
      <c r="F85" s="9"/>
      <c r="G85" s="9"/>
      <c r="H85" s="9"/>
      <c r="I85" s="9"/>
      <c r="J85" s="9"/>
      <c r="K85" s="9"/>
      <c r="L85" s="9"/>
      <c r="M85" s="9"/>
      <c r="N85" s="9"/>
      <c r="O85" s="9"/>
      <c r="P85" s="9" t="s">
        <v>1249</v>
      </c>
      <c r="Q85" s="9" t="s">
        <v>1250</v>
      </c>
      <c r="R85" s="17" t="s">
        <v>1098</v>
      </c>
      <c r="S85" s="9"/>
      <c r="T85" s="9"/>
    </row>
    <row r="86" customFormat="false" ht="15" hidden="false" customHeight="false" outlineLevel="0" collapsed="false">
      <c r="B86" s="6" t="n">
        <v>23</v>
      </c>
      <c r="F86" s="6" t="s">
        <v>1251</v>
      </c>
      <c r="G86" s="6" t="s">
        <v>213</v>
      </c>
      <c r="H86" s="6" t="n">
        <v>1</v>
      </c>
      <c r="I86" s="7" t="n">
        <v>1.2</v>
      </c>
      <c r="J86" s="7" t="n">
        <v>0.38</v>
      </c>
      <c r="K86" s="16" t="s">
        <v>226</v>
      </c>
      <c r="L86" s="7" t="n">
        <f aca="false">I86*J86</f>
        <v>0.456</v>
      </c>
      <c r="M86" s="7" t="n">
        <v>3.3</v>
      </c>
      <c r="N86" s="7" t="n">
        <v>-24.45</v>
      </c>
      <c r="O86" s="6" t="s">
        <v>505</v>
      </c>
      <c r="P86" s="6"/>
      <c r="Q86" s="6" t="s">
        <v>1252</v>
      </c>
      <c r="R86" s="16" t="s">
        <v>281</v>
      </c>
    </row>
    <row r="87" customFormat="false" ht="22.35" hidden="false" customHeight="false" outlineLevel="0" collapsed="false">
      <c r="A87" s="12" t="s">
        <v>149</v>
      </c>
      <c r="B87" s="12"/>
      <c r="C87" s="12" t="s">
        <v>150</v>
      </c>
      <c r="D87" s="12"/>
      <c r="E87" s="12"/>
      <c r="F87" s="12" t="s">
        <v>207</v>
      </c>
      <c r="G87" s="12"/>
      <c r="H87" s="12"/>
      <c r="I87" s="13" t="n">
        <v>4</v>
      </c>
      <c r="J87" s="13" t="n">
        <v>1.6</v>
      </c>
      <c r="K87" s="12"/>
      <c r="L87" s="13" t="n">
        <f aca="false">I87*J87</f>
        <v>6.4</v>
      </c>
      <c r="M87" s="13" t="n">
        <v>3.1</v>
      </c>
      <c r="N87" s="13" t="n">
        <v>-26.5</v>
      </c>
      <c r="O87" s="12" t="s">
        <v>1253</v>
      </c>
      <c r="P87" s="12"/>
      <c r="Q87" s="12" t="s">
        <v>1254</v>
      </c>
      <c r="R87" s="12"/>
      <c r="S87" s="13" t="n">
        <f aca="false">SUM(L88:L92)</f>
        <v>1.914</v>
      </c>
      <c r="T87" s="14" t="n">
        <f aca="false">S87/L87</f>
        <v>0.2990625</v>
      </c>
    </row>
    <row r="88" customFormat="false" ht="22.35" hidden="false" customHeight="false" outlineLevel="0" collapsed="false">
      <c r="A88" s="9"/>
      <c r="B88" s="9" t="n">
        <v>12</v>
      </c>
      <c r="C88" s="9" t="s">
        <v>547</v>
      </c>
      <c r="D88" s="9" t="n">
        <v>1</v>
      </c>
      <c r="E88" s="9" t="n">
        <v>2</v>
      </c>
      <c r="F88" s="9"/>
      <c r="G88" s="9"/>
      <c r="H88" s="9"/>
      <c r="I88" s="9"/>
      <c r="J88" s="9"/>
      <c r="K88" s="9"/>
      <c r="L88" s="9"/>
      <c r="M88" s="9"/>
      <c r="N88" s="9"/>
      <c r="O88" s="9"/>
      <c r="P88" s="9" t="s">
        <v>1255</v>
      </c>
      <c r="Q88" s="9" t="s">
        <v>1256</v>
      </c>
      <c r="R88" s="17" t="s">
        <v>1098</v>
      </c>
      <c r="S88" s="9"/>
      <c r="T88" s="9"/>
    </row>
    <row r="89" customFormat="false" ht="15" hidden="false" customHeight="false" outlineLevel="0" collapsed="false">
      <c r="B89" s="6" t="n">
        <v>12</v>
      </c>
      <c r="F89" s="6" t="s">
        <v>1257</v>
      </c>
      <c r="G89" s="6" t="s">
        <v>213</v>
      </c>
      <c r="H89" s="6" t="n">
        <v>1</v>
      </c>
      <c r="I89" s="7" t="n">
        <v>1</v>
      </c>
      <c r="J89" s="7" t="n">
        <v>0.9</v>
      </c>
      <c r="K89" s="16" t="s">
        <v>226</v>
      </c>
      <c r="L89" s="7" t="n">
        <f aca="false">I89*J89</f>
        <v>0.9</v>
      </c>
      <c r="M89" s="7" t="n">
        <v>3.3</v>
      </c>
      <c r="N89" s="7" t="n">
        <v>-26.05</v>
      </c>
      <c r="O89" s="6" t="s">
        <v>594</v>
      </c>
      <c r="P89" s="6" t="s">
        <v>1258</v>
      </c>
      <c r="Q89" s="6" t="s">
        <v>1259</v>
      </c>
      <c r="R89" s="16" t="s">
        <v>281</v>
      </c>
    </row>
    <row r="90" customFormat="false" ht="15" hidden="false" customHeight="false" outlineLevel="0" collapsed="false">
      <c r="B90" s="6" t="n">
        <v>12</v>
      </c>
      <c r="F90" s="6" t="s">
        <v>303</v>
      </c>
      <c r="G90" s="6" t="s">
        <v>237</v>
      </c>
      <c r="H90" s="6" t="n">
        <v>1</v>
      </c>
      <c r="I90" s="7" t="n">
        <v>0.6</v>
      </c>
      <c r="J90" s="7" t="n">
        <v>0.34</v>
      </c>
      <c r="K90" s="6" t="s">
        <v>220</v>
      </c>
      <c r="L90" s="7" t="n">
        <f aca="false">I90*J90</f>
        <v>0.204</v>
      </c>
      <c r="M90" s="7" t="n">
        <v>5.4</v>
      </c>
      <c r="N90" s="7" t="n">
        <v>-25.72</v>
      </c>
      <c r="O90" s="6" t="s">
        <v>389</v>
      </c>
      <c r="P90" s="6" t="s">
        <v>239</v>
      </c>
      <c r="Q90" s="6" t="s">
        <v>1260</v>
      </c>
    </row>
    <row r="91" customFormat="false" ht="22.35" hidden="false" customHeight="false" outlineLevel="0" collapsed="false">
      <c r="A91" s="9"/>
      <c r="B91" s="9" t="n">
        <v>13</v>
      </c>
      <c r="C91" s="9" t="s">
        <v>1261</v>
      </c>
      <c r="D91" s="9" t="n">
        <v>1</v>
      </c>
      <c r="E91" s="9" t="n">
        <v>1</v>
      </c>
      <c r="F91" s="9"/>
      <c r="G91" s="9"/>
      <c r="H91" s="9"/>
      <c r="I91" s="9"/>
      <c r="J91" s="9"/>
      <c r="K91" s="9"/>
      <c r="L91" s="9"/>
      <c r="M91" s="9"/>
      <c r="N91" s="9"/>
      <c r="O91" s="9"/>
      <c r="P91" s="9" t="s">
        <v>1262</v>
      </c>
      <c r="Q91" s="9" t="s">
        <v>1263</v>
      </c>
      <c r="R91" s="17" t="s">
        <v>1098</v>
      </c>
      <c r="S91" s="9"/>
      <c r="T91" s="9"/>
    </row>
    <row r="92" customFormat="false" ht="15" hidden="false" customHeight="false" outlineLevel="0" collapsed="false">
      <c r="B92" s="6" t="n">
        <v>13</v>
      </c>
      <c r="F92" s="6" t="s">
        <v>1264</v>
      </c>
      <c r="G92" s="6" t="s">
        <v>213</v>
      </c>
      <c r="H92" s="6" t="n">
        <v>1</v>
      </c>
      <c r="I92" s="7" t="n">
        <v>0.9</v>
      </c>
      <c r="J92" s="7" t="n">
        <v>0.9</v>
      </c>
      <c r="K92" s="16" t="s">
        <v>226</v>
      </c>
      <c r="L92" s="7" t="n">
        <f aca="false">I92*J92</f>
        <v>0.81</v>
      </c>
      <c r="M92" s="7" t="n">
        <v>4.4</v>
      </c>
      <c r="N92" s="7" t="n">
        <v>-26.05</v>
      </c>
      <c r="O92" s="6" t="s">
        <v>621</v>
      </c>
      <c r="P92" s="6"/>
      <c r="Q92" s="6" t="s">
        <v>1265</v>
      </c>
      <c r="R92" s="16" t="s">
        <v>281</v>
      </c>
    </row>
    <row r="93" customFormat="false" ht="22.35" hidden="false" customHeight="false" outlineLevel="0" collapsed="false">
      <c r="A93" s="12" t="s">
        <v>151</v>
      </c>
      <c r="B93" s="12"/>
      <c r="C93" s="12" t="s">
        <v>152</v>
      </c>
      <c r="D93" s="12"/>
      <c r="E93" s="12"/>
      <c r="F93" s="12" t="s">
        <v>207</v>
      </c>
      <c r="G93" s="12"/>
      <c r="H93" s="12"/>
      <c r="I93" s="13" t="n">
        <v>2</v>
      </c>
      <c r="J93" s="13" t="n">
        <v>3.05</v>
      </c>
      <c r="K93" s="12"/>
      <c r="L93" s="13" t="n">
        <f aca="false">I93*J93</f>
        <v>6.1</v>
      </c>
      <c r="M93" s="13" t="n">
        <v>-2.5</v>
      </c>
      <c r="N93" s="13" t="n">
        <v>-27.05</v>
      </c>
      <c r="O93" s="12" t="s">
        <v>1266</v>
      </c>
      <c r="P93" s="12"/>
      <c r="Q93" s="12" t="s">
        <v>1267</v>
      </c>
      <c r="R93" s="12"/>
      <c r="S93" s="13" t="n">
        <f aca="false">SUM(L94:L99)</f>
        <v>0.9912</v>
      </c>
      <c r="T93" s="14" t="n">
        <f aca="false">S93/L93</f>
        <v>0.162491803278689</v>
      </c>
    </row>
    <row r="94" customFormat="false" ht="22.35" hidden="false" customHeight="false" outlineLevel="0" collapsed="false">
      <c r="A94" s="9"/>
      <c r="B94" s="9" t="n">
        <v>14</v>
      </c>
      <c r="C94" s="9" t="s">
        <v>1268</v>
      </c>
      <c r="D94" s="9" t="n">
        <v>2</v>
      </c>
      <c r="E94" s="9" t="n">
        <v>2</v>
      </c>
      <c r="F94" s="9"/>
      <c r="G94" s="9"/>
      <c r="H94" s="9"/>
      <c r="I94" s="9"/>
      <c r="J94" s="9"/>
      <c r="K94" s="9"/>
      <c r="L94" s="9"/>
      <c r="M94" s="9"/>
      <c r="N94" s="9"/>
      <c r="O94" s="9"/>
      <c r="P94" s="9" t="s">
        <v>1269</v>
      </c>
      <c r="Q94" s="9" t="s">
        <v>1270</v>
      </c>
      <c r="R94" s="17" t="s">
        <v>1098</v>
      </c>
      <c r="S94" s="9"/>
      <c r="T94" s="9"/>
    </row>
    <row r="95" customFormat="false" ht="15" hidden="false" customHeight="false" outlineLevel="0" collapsed="false">
      <c r="B95" s="6" t="n">
        <v>14</v>
      </c>
      <c r="F95" s="6" t="s">
        <v>1271</v>
      </c>
      <c r="G95" s="6" t="s">
        <v>213</v>
      </c>
      <c r="H95" s="6" t="n">
        <v>1</v>
      </c>
      <c r="I95" s="7" t="n">
        <v>0.54</v>
      </c>
      <c r="J95" s="7" t="n">
        <v>0.54</v>
      </c>
      <c r="K95" s="16" t="s">
        <v>226</v>
      </c>
      <c r="L95" s="7" t="n">
        <f aca="false">I95*J95</f>
        <v>0.2916</v>
      </c>
      <c r="M95" s="7" t="n">
        <v>-2.22</v>
      </c>
      <c r="N95" s="7" t="n">
        <v>-25.82</v>
      </c>
      <c r="O95" s="6" t="s">
        <v>594</v>
      </c>
      <c r="P95" s="6" t="s">
        <v>1272</v>
      </c>
      <c r="Q95" s="6" t="s">
        <v>1273</v>
      </c>
      <c r="R95" s="16" t="s">
        <v>281</v>
      </c>
    </row>
    <row r="96" customFormat="false" ht="15" hidden="false" customHeight="false" outlineLevel="0" collapsed="false">
      <c r="B96" s="6" t="n">
        <v>14</v>
      </c>
      <c r="F96" s="6" t="s">
        <v>1274</v>
      </c>
      <c r="G96" s="6" t="s">
        <v>213</v>
      </c>
      <c r="H96" s="6" t="n">
        <v>1</v>
      </c>
      <c r="I96" s="7" t="n">
        <v>0.54</v>
      </c>
      <c r="J96" s="7" t="n">
        <v>0.54</v>
      </c>
      <c r="K96" s="16" t="s">
        <v>226</v>
      </c>
      <c r="L96" s="7" t="n">
        <f aca="false">I96*J96</f>
        <v>0.2916</v>
      </c>
      <c r="M96" s="7" t="n">
        <v>-2.22</v>
      </c>
      <c r="N96" s="7" t="n">
        <v>-24.72</v>
      </c>
      <c r="O96" s="6" t="s">
        <v>594</v>
      </c>
      <c r="P96" s="6" t="s">
        <v>1272</v>
      </c>
      <c r="Q96" s="6" t="s">
        <v>1275</v>
      </c>
      <c r="R96" s="16" t="s">
        <v>281</v>
      </c>
    </row>
    <row r="97" customFormat="false" ht="15" hidden="false" customHeight="false" outlineLevel="0" collapsed="false">
      <c r="B97" s="6" t="n">
        <v>14</v>
      </c>
      <c r="F97" s="6" t="s">
        <v>492</v>
      </c>
      <c r="G97" s="6" t="s">
        <v>237</v>
      </c>
      <c r="H97" s="6" t="n">
        <v>1</v>
      </c>
      <c r="I97" s="7" t="n">
        <v>0.6</v>
      </c>
      <c r="J97" s="7" t="n">
        <v>0.34</v>
      </c>
      <c r="K97" s="6" t="s">
        <v>220</v>
      </c>
      <c r="L97" s="7" t="n">
        <f aca="false">I97*J97</f>
        <v>0.204</v>
      </c>
      <c r="M97" s="7" t="n">
        <v>-1.45</v>
      </c>
      <c r="N97" s="7" t="n">
        <v>-25.72</v>
      </c>
      <c r="O97" s="6" t="s">
        <v>389</v>
      </c>
      <c r="P97" s="6" t="s">
        <v>239</v>
      </c>
      <c r="Q97" s="6" t="s">
        <v>1276</v>
      </c>
    </row>
    <row r="98" customFormat="false" ht="15" hidden="false" customHeight="false" outlineLevel="0" collapsed="false">
      <c r="B98" s="6" t="n">
        <v>14</v>
      </c>
      <c r="F98" s="6" t="s">
        <v>495</v>
      </c>
      <c r="G98" s="6" t="s">
        <v>237</v>
      </c>
      <c r="H98" s="6" t="n">
        <v>1</v>
      </c>
      <c r="I98" s="7" t="n">
        <v>0.6</v>
      </c>
      <c r="J98" s="7" t="n">
        <v>0.34</v>
      </c>
      <c r="K98" s="6" t="s">
        <v>220</v>
      </c>
      <c r="L98" s="7" t="n">
        <f aca="false">I98*J98</f>
        <v>0.204</v>
      </c>
      <c r="M98" s="7" t="n">
        <v>-1.45</v>
      </c>
      <c r="N98" s="7" t="n">
        <v>-24.62</v>
      </c>
      <c r="O98" s="6" t="s">
        <v>389</v>
      </c>
      <c r="P98" s="6" t="s">
        <v>239</v>
      </c>
      <c r="Q98" s="6" t="s">
        <v>1277</v>
      </c>
    </row>
    <row r="99" customFormat="false" ht="22.35" hidden="false" customHeight="false" outlineLevel="0" collapsed="false">
      <c r="B99" s="6" t="n">
        <v>14</v>
      </c>
      <c r="F99" s="6" t="s">
        <v>1278</v>
      </c>
      <c r="G99" s="6" t="s">
        <v>1063</v>
      </c>
      <c r="K99" s="16" t="s">
        <v>226</v>
      </c>
      <c r="O99" s="6" t="s">
        <v>220</v>
      </c>
      <c r="P99" s="6" t="s">
        <v>1279</v>
      </c>
      <c r="Q99" s="6" t="s">
        <v>1280</v>
      </c>
      <c r="R99" s="16" t="s">
        <v>1281</v>
      </c>
    </row>
    <row r="100" customFormat="false" ht="22.35" hidden="false" customHeight="false" outlineLevel="0" collapsed="false">
      <c r="A100" s="12" t="s">
        <v>153</v>
      </c>
      <c r="B100" s="12"/>
      <c r="C100" s="12" t="s">
        <v>154</v>
      </c>
      <c r="D100" s="12"/>
      <c r="E100" s="12"/>
      <c r="F100" s="12" t="s">
        <v>207</v>
      </c>
      <c r="G100" s="12"/>
      <c r="H100" s="12"/>
      <c r="I100" s="13" t="n">
        <v>2</v>
      </c>
      <c r="J100" s="13" t="n">
        <v>3.35</v>
      </c>
      <c r="K100" s="12"/>
      <c r="L100" s="13" t="n">
        <f aca="false">I100*J100</f>
        <v>6.7</v>
      </c>
      <c r="M100" s="13" t="n">
        <v>1.1</v>
      </c>
      <c r="N100" s="13" t="n">
        <v>-28.3</v>
      </c>
      <c r="O100" s="12" t="s">
        <v>1282</v>
      </c>
      <c r="P100" s="12"/>
      <c r="Q100" s="12" t="s">
        <v>1283</v>
      </c>
      <c r="R100" s="12"/>
      <c r="S100" s="13" t="n">
        <f aca="false">SUM(L101:L108)</f>
        <v>2.453</v>
      </c>
      <c r="T100" s="14" t="n">
        <f aca="false">S100/L100</f>
        <v>0.366119402985075</v>
      </c>
    </row>
    <row r="101" customFormat="false" ht="22.35" hidden="false" customHeight="false" outlineLevel="0" collapsed="false">
      <c r="A101" s="9"/>
      <c r="B101" s="9" t="n">
        <v>15</v>
      </c>
      <c r="C101" s="9" t="s">
        <v>1284</v>
      </c>
      <c r="D101" s="9" t="n">
        <v>2</v>
      </c>
      <c r="E101" s="9" t="n">
        <v>2</v>
      </c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 t="s">
        <v>1285</v>
      </c>
      <c r="Q101" s="9" t="s">
        <v>1286</v>
      </c>
      <c r="R101" s="17" t="s">
        <v>1098</v>
      </c>
      <c r="S101" s="9"/>
      <c r="T101" s="9"/>
    </row>
    <row r="102" customFormat="false" ht="15" hidden="false" customHeight="false" outlineLevel="0" collapsed="false">
      <c r="B102" s="6" t="n">
        <v>15</v>
      </c>
      <c r="F102" s="6" t="s">
        <v>1287</v>
      </c>
      <c r="G102" s="6" t="s">
        <v>213</v>
      </c>
      <c r="H102" s="6" t="n">
        <v>1</v>
      </c>
      <c r="I102" s="7" t="n">
        <v>0.95</v>
      </c>
      <c r="J102" s="7" t="n">
        <v>0.7</v>
      </c>
      <c r="K102" s="16" t="s">
        <v>226</v>
      </c>
      <c r="L102" s="7" t="n">
        <f aca="false">I102*J102</f>
        <v>0.665</v>
      </c>
      <c r="M102" s="7" t="n">
        <v>1.9</v>
      </c>
      <c r="N102" s="7" t="n">
        <v>-26.65</v>
      </c>
      <c r="O102" s="6" t="s">
        <v>621</v>
      </c>
      <c r="P102" s="6"/>
      <c r="Q102" s="6" t="s">
        <v>1288</v>
      </c>
      <c r="R102" s="16" t="s">
        <v>281</v>
      </c>
    </row>
    <row r="103" customFormat="false" ht="15" hidden="false" customHeight="false" outlineLevel="0" collapsed="false">
      <c r="B103" s="6" t="n">
        <v>15</v>
      </c>
      <c r="F103" s="6" t="s">
        <v>1289</v>
      </c>
      <c r="G103" s="6" t="s">
        <v>213</v>
      </c>
      <c r="H103" s="6" t="n">
        <v>1</v>
      </c>
      <c r="I103" s="7" t="n">
        <v>0.95</v>
      </c>
      <c r="J103" s="7" t="n">
        <v>0.7</v>
      </c>
      <c r="K103" s="16" t="s">
        <v>226</v>
      </c>
      <c r="L103" s="7" t="n">
        <f aca="false">I103*J103</f>
        <v>0.665</v>
      </c>
      <c r="M103" s="7" t="n">
        <v>1.9</v>
      </c>
      <c r="N103" s="7" t="n">
        <v>-25.75</v>
      </c>
      <c r="O103" s="6" t="s">
        <v>621</v>
      </c>
      <c r="P103" s="6"/>
      <c r="Q103" s="6" t="s">
        <v>1290</v>
      </c>
      <c r="R103" s="16" t="s">
        <v>281</v>
      </c>
    </row>
    <row r="104" customFormat="false" ht="15" hidden="false" customHeight="false" outlineLevel="0" collapsed="false">
      <c r="B104" s="6" t="n">
        <v>15</v>
      </c>
      <c r="F104" s="6" t="s">
        <v>648</v>
      </c>
      <c r="G104" s="6" t="s">
        <v>225</v>
      </c>
      <c r="H104" s="6" t="n">
        <v>1</v>
      </c>
      <c r="I104" s="7" t="n">
        <v>0.45</v>
      </c>
      <c r="J104" s="7" t="n">
        <v>0.45</v>
      </c>
      <c r="K104" s="16" t="s">
        <v>226</v>
      </c>
      <c r="L104" s="7" t="n">
        <f aca="false">I104*J104</f>
        <v>0.2025</v>
      </c>
      <c r="M104" s="7" t="n">
        <v>1.85</v>
      </c>
      <c r="N104" s="7" t="n">
        <v>-27.4</v>
      </c>
      <c r="O104" s="6" t="s">
        <v>386</v>
      </c>
      <c r="P104" s="6"/>
      <c r="Q104" s="6" t="s">
        <v>1291</v>
      </c>
      <c r="R104" s="16" t="s">
        <v>281</v>
      </c>
    </row>
    <row r="105" customFormat="false" ht="15" hidden="false" customHeight="false" outlineLevel="0" collapsed="false">
      <c r="B105" s="6" t="n">
        <v>15</v>
      </c>
      <c r="F105" s="6" t="s">
        <v>1292</v>
      </c>
      <c r="G105" s="6" t="s">
        <v>225</v>
      </c>
      <c r="H105" s="6" t="n">
        <v>1</v>
      </c>
      <c r="I105" s="7" t="n">
        <v>0.55</v>
      </c>
      <c r="J105" s="7" t="n">
        <v>0.55</v>
      </c>
      <c r="K105" s="16" t="s">
        <v>226</v>
      </c>
      <c r="L105" s="7" t="n">
        <f aca="false">I105*J105</f>
        <v>0.3025</v>
      </c>
      <c r="M105" s="7" t="n">
        <v>2.35</v>
      </c>
      <c r="N105" s="7" t="n">
        <v>-27.45</v>
      </c>
      <c r="O105" s="6" t="s">
        <v>386</v>
      </c>
      <c r="P105" s="6"/>
      <c r="Q105" s="6" t="s">
        <v>1293</v>
      </c>
      <c r="R105" s="16" t="s">
        <v>281</v>
      </c>
    </row>
    <row r="106" customFormat="false" ht="15" hidden="false" customHeight="false" outlineLevel="0" collapsed="false">
      <c r="B106" s="6" t="n">
        <v>15</v>
      </c>
      <c r="F106" s="6" t="s">
        <v>1294</v>
      </c>
      <c r="G106" s="6" t="s">
        <v>225</v>
      </c>
      <c r="H106" s="6" t="n">
        <v>1</v>
      </c>
      <c r="I106" s="7" t="n">
        <v>0.3</v>
      </c>
      <c r="J106" s="7" t="n">
        <v>0.7</v>
      </c>
      <c r="K106" s="16" t="s">
        <v>226</v>
      </c>
      <c r="L106" s="7" t="n">
        <f aca="false">I106*J106</f>
        <v>0.21</v>
      </c>
      <c r="M106" s="7" t="n">
        <v>2.95</v>
      </c>
      <c r="N106" s="7" t="n">
        <v>-26.4</v>
      </c>
      <c r="O106" s="6" t="s">
        <v>1200</v>
      </c>
      <c r="P106" s="6" t="s">
        <v>1295</v>
      </c>
      <c r="Q106" s="6" t="s">
        <v>1296</v>
      </c>
      <c r="R106" s="16" t="s">
        <v>1203</v>
      </c>
    </row>
    <row r="107" customFormat="false" ht="15" hidden="false" customHeight="false" outlineLevel="0" collapsed="false">
      <c r="B107" s="6" t="n">
        <v>15</v>
      </c>
      <c r="F107" s="6" t="s">
        <v>492</v>
      </c>
      <c r="G107" s="6" t="s">
        <v>237</v>
      </c>
      <c r="H107" s="6" t="n">
        <v>1</v>
      </c>
      <c r="I107" s="7" t="n">
        <v>0.6</v>
      </c>
      <c r="J107" s="7" t="n">
        <v>0.34</v>
      </c>
      <c r="K107" s="6" t="s">
        <v>220</v>
      </c>
      <c r="L107" s="7" t="n">
        <f aca="false">I107*J107</f>
        <v>0.204</v>
      </c>
      <c r="M107" s="7" t="n">
        <v>1.2</v>
      </c>
      <c r="N107" s="7" t="n">
        <v>-26.47</v>
      </c>
      <c r="O107" s="6" t="s">
        <v>594</v>
      </c>
      <c r="P107" s="6" t="s">
        <v>239</v>
      </c>
      <c r="Q107" s="6" t="s">
        <v>1297</v>
      </c>
    </row>
    <row r="108" customFormat="false" ht="15" hidden="false" customHeight="false" outlineLevel="0" collapsed="false">
      <c r="B108" s="6" t="n">
        <v>15</v>
      </c>
      <c r="F108" s="6" t="s">
        <v>495</v>
      </c>
      <c r="G108" s="6" t="s">
        <v>237</v>
      </c>
      <c r="H108" s="6" t="n">
        <v>1</v>
      </c>
      <c r="I108" s="7" t="n">
        <v>0.6</v>
      </c>
      <c r="J108" s="7" t="n">
        <v>0.34</v>
      </c>
      <c r="K108" s="6" t="s">
        <v>220</v>
      </c>
      <c r="L108" s="7" t="n">
        <f aca="false">I108*J108</f>
        <v>0.204</v>
      </c>
      <c r="M108" s="7" t="n">
        <v>1.2</v>
      </c>
      <c r="N108" s="7" t="n">
        <v>-25.57</v>
      </c>
      <c r="O108" s="6" t="s">
        <v>594</v>
      </c>
      <c r="P108" s="6" t="s">
        <v>239</v>
      </c>
      <c r="Q108" s="6" t="s">
        <v>1298</v>
      </c>
    </row>
    <row r="109" customFormat="false" ht="22.35" hidden="false" customHeight="false" outlineLevel="0" collapsed="false">
      <c r="A109" s="12" t="s">
        <v>155</v>
      </c>
      <c r="B109" s="12"/>
      <c r="C109" s="12" t="s">
        <v>156</v>
      </c>
      <c r="D109" s="12"/>
      <c r="E109" s="12"/>
      <c r="F109" s="12" t="s">
        <v>207</v>
      </c>
      <c r="G109" s="12"/>
      <c r="H109" s="12"/>
      <c r="I109" s="13" t="n">
        <v>2</v>
      </c>
      <c r="J109" s="13" t="n">
        <v>2.25</v>
      </c>
      <c r="K109" s="12"/>
      <c r="L109" s="13" t="n">
        <f aca="false">I109*J109</f>
        <v>4.5</v>
      </c>
      <c r="M109" s="13" t="n">
        <v>-2.5</v>
      </c>
      <c r="N109" s="13" t="n">
        <v>-32.45</v>
      </c>
      <c r="O109" s="12" t="s">
        <v>1299</v>
      </c>
      <c r="P109" s="12"/>
      <c r="Q109" s="12" t="s">
        <v>1300</v>
      </c>
      <c r="R109" s="12"/>
      <c r="S109" s="13" t="n">
        <f aca="false">SUM(L110:L115)</f>
        <v>1.6375</v>
      </c>
      <c r="T109" s="14" t="n">
        <f aca="false">S109/L109</f>
        <v>0.363888888888889</v>
      </c>
    </row>
    <row r="110" customFormat="false" ht="22.35" hidden="false" customHeight="false" outlineLevel="0" collapsed="false">
      <c r="A110" s="9"/>
      <c r="B110" s="9" t="n">
        <v>15</v>
      </c>
      <c r="C110" s="9" t="s">
        <v>1284</v>
      </c>
      <c r="D110" s="9" t="n">
        <v>2</v>
      </c>
      <c r="E110" s="9" t="n">
        <v>2</v>
      </c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 t="s">
        <v>1285</v>
      </c>
      <c r="Q110" s="9" t="s">
        <v>1286</v>
      </c>
      <c r="R110" s="17" t="s">
        <v>1098</v>
      </c>
      <c r="S110" s="9"/>
      <c r="T110" s="9"/>
    </row>
    <row r="111" customFormat="false" ht="15" hidden="false" customHeight="false" outlineLevel="0" collapsed="false">
      <c r="B111" s="6" t="n">
        <v>15</v>
      </c>
      <c r="F111" s="6" t="s">
        <v>1301</v>
      </c>
      <c r="G111" s="6" t="s">
        <v>213</v>
      </c>
      <c r="H111" s="6" t="n">
        <v>1</v>
      </c>
      <c r="I111" s="7" t="n">
        <v>0.8</v>
      </c>
      <c r="J111" s="7" t="n">
        <v>0.6</v>
      </c>
      <c r="K111" s="16" t="s">
        <v>226</v>
      </c>
      <c r="L111" s="7" t="n">
        <f aca="false">I111*J111</f>
        <v>0.48</v>
      </c>
      <c r="M111" s="7" t="n">
        <v>-2.3</v>
      </c>
      <c r="N111" s="7" t="n">
        <v>-31.95</v>
      </c>
      <c r="O111" s="6" t="s">
        <v>505</v>
      </c>
      <c r="P111" s="6" t="s">
        <v>1302</v>
      </c>
      <c r="Q111" s="6" t="s">
        <v>1303</v>
      </c>
      <c r="R111" s="16" t="s">
        <v>281</v>
      </c>
    </row>
    <row r="112" customFormat="false" ht="15" hidden="false" customHeight="false" outlineLevel="0" collapsed="false">
      <c r="B112" s="6" t="n">
        <v>15</v>
      </c>
      <c r="F112" s="6" t="s">
        <v>648</v>
      </c>
      <c r="G112" s="6" t="s">
        <v>225</v>
      </c>
      <c r="H112" s="6" t="n">
        <v>1</v>
      </c>
      <c r="I112" s="7" t="n">
        <v>0.55</v>
      </c>
      <c r="J112" s="7" t="n">
        <v>0.45</v>
      </c>
      <c r="K112" s="16" t="s">
        <v>226</v>
      </c>
      <c r="L112" s="7" t="n">
        <f aca="false">I112*J112</f>
        <v>0.2475</v>
      </c>
      <c r="M112" s="7" t="n">
        <v>-1.35</v>
      </c>
      <c r="N112" s="7" t="n">
        <v>-31.9</v>
      </c>
      <c r="O112" s="6" t="s">
        <v>355</v>
      </c>
      <c r="P112" s="6"/>
      <c r="Q112" s="6" t="s">
        <v>1304</v>
      </c>
      <c r="R112" s="16" t="s">
        <v>281</v>
      </c>
    </row>
    <row r="113" customFormat="false" ht="15" hidden="false" customHeight="false" outlineLevel="0" collapsed="false">
      <c r="B113" s="6" t="n">
        <v>15</v>
      </c>
      <c r="F113" s="6" t="s">
        <v>1305</v>
      </c>
      <c r="G113" s="6" t="s">
        <v>225</v>
      </c>
      <c r="H113" s="6" t="n">
        <v>1</v>
      </c>
      <c r="I113" s="7" t="n">
        <v>1</v>
      </c>
      <c r="J113" s="7" t="n">
        <v>0.55</v>
      </c>
      <c r="K113" s="16" t="s">
        <v>226</v>
      </c>
      <c r="L113" s="7" t="n">
        <f aca="false">I113*J113</f>
        <v>0.55</v>
      </c>
      <c r="M113" s="7" t="n">
        <v>-1.6</v>
      </c>
      <c r="N113" s="7" t="n">
        <v>-31.2</v>
      </c>
      <c r="O113" s="6" t="s">
        <v>621</v>
      </c>
      <c r="P113" s="6"/>
      <c r="Q113" s="6" t="s">
        <v>1306</v>
      </c>
      <c r="R113" s="16" t="s">
        <v>281</v>
      </c>
    </row>
    <row r="114" customFormat="false" ht="22.35" hidden="false" customHeight="false" outlineLevel="0" collapsed="false">
      <c r="A114" s="9"/>
      <c r="B114" s="9" t="n">
        <v>4</v>
      </c>
      <c r="C114" s="9" t="s">
        <v>1121</v>
      </c>
      <c r="D114" s="9" t="n">
        <v>1</v>
      </c>
      <c r="E114" s="9" t="n">
        <v>1</v>
      </c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 t="s">
        <v>1122</v>
      </c>
      <c r="Q114" s="9" t="s">
        <v>1123</v>
      </c>
      <c r="R114" s="17" t="s">
        <v>1098</v>
      </c>
      <c r="S114" s="9"/>
      <c r="T114" s="9"/>
    </row>
    <row r="115" customFormat="false" ht="15" hidden="false" customHeight="false" outlineLevel="0" collapsed="false">
      <c r="B115" s="6" t="n">
        <v>4</v>
      </c>
      <c r="F115" s="6" t="s">
        <v>1307</v>
      </c>
      <c r="G115" s="6" t="s">
        <v>225</v>
      </c>
      <c r="H115" s="6" t="n">
        <v>1</v>
      </c>
      <c r="I115" s="7" t="n">
        <v>0.6</v>
      </c>
      <c r="J115" s="7" t="n">
        <v>0.6</v>
      </c>
      <c r="K115" s="16" t="s">
        <v>226</v>
      </c>
      <c r="L115" s="7" t="n">
        <f aca="false">I115*J115</f>
        <v>0.36</v>
      </c>
      <c r="M115" s="7" t="n">
        <v>-2.3</v>
      </c>
      <c r="N115" s="7" t="n">
        <v>-31.15</v>
      </c>
      <c r="O115" s="6" t="s">
        <v>476</v>
      </c>
      <c r="P115" s="6" t="s">
        <v>1125</v>
      </c>
      <c r="Q115" s="6" t="s">
        <v>1308</v>
      </c>
      <c r="R115" s="16" t="s">
        <v>281</v>
      </c>
    </row>
    <row r="116" customFormat="false" ht="15" hidden="false" customHeight="false" outlineLevel="0" collapsed="false">
      <c r="A116" s="12" t="s">
        <v>157</v>
      </c>
      <c r="B116" s="12"/>
      <c r="C116" s="12" t="s">
        <v>158</v>
      </c>
      <c r="D116" s="12"/>
      <c r="E116" s="12"/>
      <c r="F116" s="12" t="s">
        <v>207</v>
      </c>
      <c r="G116" s="12"/>
      <c r="H116" s="12"/>
      <c r="I116" s="13" t="n">
        <v>2</v>
      </c>
      <c r="J116" s="13" t="n">
        <v>2.55</v>
      </c>
      <c r="K116" s="12"/>
      <c r="L116" s="13" t="n">
        <f aca="false">I116*J116</f>
        <v>5.1</v>
      </c>
      <c r="M116" s="13" t="n">
        <v>1.1</v>
      </c>
      <c r="N116" s="13" t="n">
        <v>-30.85</v>
      </c>
      <c r="O116" s="12" t="s">
        <v>1309</v>
      </c>
      <c r="P116" s="12"/>
      <c r="Q116" s="12" t="s">
        <v>1310</v>
      </c>
      <c r="R116" s="12"/>
      <c r="S116" s="13" t="n">
        <f aca="false">SUM(L117:L121)</f>
        <v>1.853</v>
      </c>
      <c r="T116" s="14" t="n">
        <f aca="false">S116/L116</f>
        <v>0.363333333333333</v>
      </c>
    </row>
    <row r="117" customFormat="false" ht="22.35" hidden="false" customHeight="false" outlineLevel="0" collapsed="false">
      <c r="A117" s="9"/>
      <c r="B117" s="9" t="n">
        <v>16</v>
      </c>
      <c r="C117" s="9" t="s">
        <v>1311</v>
      </c>
      <c r="D117" s="9" t="n">
        <v>2</v>
      </c>
      <c r="E117" s="9" t="n">
        <v>2</v>
      </c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 t="s">
        <v>1312</v>
      </c>
      <c r="Q117" s="9" t="s">
        <v>1313</v>
      </c>
      <c r="R117" s="17" t="s">
        <v>1098</v>
      </c>
      <c r="S117" s="9"/>
      <c r="T117" s="9"/>
    </row>
    <row r="118" customFormat="false" ht="15" hidden="false" customHeight="false" outlineLevel="0" collapsed="false">
      <c r="B118" s="6" t="n">
        <v>16</v>
      </c>
      <c r="F118" s="6" t="s">
        <v>1314</v>
      </c>
      <c r="G118" s="6" t="s">
        <v>213</v>
      </c>
      <c r="H118" s="6" t="n">
        <v>1</v>
      </c>
      <c r="I118" s="7" t="n">
        <v>0.85</v>
      </c>
      <c r="J118" s="7" t="n">
        <v>0.85</v>
      </c>
      <c r="K118" s="16" t="s">
        <v>226</v>
      </c>
      <c r="L118" s="7" t="n">
        <f aca="false">I118*J118</f>
        <v>0.7225</v>
      </c>
      <c r="M118" s="7" t="n">
        <v>2</v>
      </c>
      <c r="N118" s="7" t="n">
        <v>-30.4</v>
      </c>
      <c r="O118" s="6" t="s">
        <v>389</v>
      </c>
      <c r="P118" s="6"/>
      <c r="Q118" s="6" t="s">
        <v>1315</v>
      </c>
      <c r="R118" s="16" t="s">
        <v>281</v>
      </c>
    </row>
    <row r="119" customFormat="false" ht="15" hidden="false" customHeight="false" outlineLevel="0" collapsed="false">
      <c r="B119" s="6" t="n">
        <v>16</v>
      </c>
      <c r="F119" s="6" t="s">
        <v>1316</v>
      </c>
      <c r="G119" s="6" t="s">
        <v>213</v>
      </c>
      <c r="H119" s="6" t="n">
        <v>1</v>
      </c>
      <c r="I119" s="7" t="n">
        <v>0.85</v>
      </c>
      <c r="J119" s="7" t="n">
        <v>0.85</v>
      </c>
      <c r="K119" s="16" t="s">
        <v>226</v>
      </c>
      <c r="L119" s="7" t="n">
        <f aca="false">I119*J119</f>
        <v>0.7225</v>
      </c>
      <c r="M119" s="7" t="n">
        <v>2</v>
      </c>
      <c r="N119" s="7" t="n">
        <v>-29.4</v>
      </c>
      <c r="O119" s="6" t="s">
        <v>389</v>
      </c>
      <c r="P119" s="6"/>
      <c r="Q119" s="6" t="s">
        <v>1317</v>
      </c>
      <c r="R119" s="16" t="s">
        <v>281</v>
      </c>
    </row>
    <row r="120" customFormat="false" ht="15" hidden="false" customHeight="false" outlineLevel="0" collapsed="false">
      <c r="B120" s="6" t="n">
        <v>16</v>
      </c>
      <c r="F120" s="6" t="s">
        <v>492</v>
      </c>
      <c r="G120" s="6" t="s">
        <v>237</v>
      </c>
      <c r="H120" s="6" t="n">
        <v>1</v>
      </c>
      <c r="I120" s="7" t="n">
        <v>0.6</v>
      </c>
      <c r="J120" s="7" t="n">
        <v>0.34</v>
      </c>
      <c r="K120" s="6" t="s">
        <v>220</v>
      </c>
      <c r="L120" s="7" t="n">
        <f aca="false">I120*J120</f>
        <v>0.204</v>
      </c>
      <c r="M120" s="7" t="n">
        <v>1.25</v>
      </c>
      <c r="N120" s="7" t="n">
        <v>-30.12</v>
      </c>
      <c r="O120" s="6" t="s">
        <v>594</v>
      </c>
      <c r="P120" s="6" t="s">
        <v>239</v>
      </c>
      <c r="Q120" s="6" t="s">
        <v>1318</v>
      </c>
    </row>
    <row r="121" customFormat="false" ht="15" hidden="false" customHeight="false" outlineLevel="0" collapsed="false">
      <c r="B121" s="6" t="n">
        <v>16</v>
      </c>
      <c r="F121" s="6" t="s">
        <v>495</v>
      </c>
      <c r="G121" s="6" t="s">
        <v>237</v>
      </c>
      <c r="H121" s="6" t="n">
        <v>1</v>
      </c>
      <c r="I121" s="7" t="n">
        <v>0.6</v>
      </c>
      <c r="J121" s="7" t="n">
        <v>0.34</v>
      </c>
      <c r="K121" s="6" t="s">
        <v>220</v>
      </c>
      <c r="L121" s="7" t="n">
        <f aca="false">I121*J121</f>
        <v>0.204</v>
      </c>
      <c r="M121" s="7" t="n">
        <v>1.25</v>
      </c>
      <c r="N121" s="7" t="n">
        <v>-29.12</v>
      </c>
      <c r="O121" s="6" t="s">
        <v>594</v>
      </c>
      <c r="P121" s="6" t="s">
        <v>239</v>
      </c>
      <c r="Q121" s="6" t="s">
        <v>1319</v>
      </c>
    </row>
    <row r="122" customFormat="false" ht="22.35" hidden="false" customHeight="false" outlineLevel="0" collapsed="false">
      <c r="A122" s="12" t="s">
        <v>159</v>
      </c>
      <c r="B122" s="12"/>
      <c r="C122" s="12" t="s">
        <v>160</v>
      </c>
      <c r="D122" s="12"/>
      <c r="E122" s="12"/>
      <c r="F122" s="12" t="s">
        <v>207</v>
      </c>
      <c r="G122" s="12"/>
      <c r="H122" s="12"/>
      <c r="I122" s="13" t="n">
        <v>2</v>
      </c>
      <c r="J122" s="13" t="n">
        <v>1.6</v>
      </c>
      <c r="K122" s="12"/>
      <c r="L122" s="13" t="n">
        <f aca="false">I122*J122</f>
        <v>3.2</v>
      </c>
      <c r="M122" s="13" t="n">
        <v>1.1</v>
      </c>
      <c r="N122" s="13" t="n">
        <v>-32.45</v>
      </c>
      <c r="O122" s="12" t="s">
        <v>1320</v>
      </c>
      <c r="P122" s="12"/>
      <c r="Q122" s="12" t="s">
        <v>1321</v>
      </c>
      <c r="R122" s="12"/>
      <c r="S122" s="13" t="n">
        <f aca="false">SUM(L123:L126)</f>
        <v>0.999</v>
      </c>
      <c r="T122" s="14" t="n">
        <f aca="false">S122/L122</f>
        <v>0.3121875</v>
      </c>
    </row>
    <row r="123" customFormat="false" ht="22.35" hidden="false" customHeight="false" outlineLevel="0" collapsed="false">
      <c r="A123" s="9"/>
      <c r="B123" s="9" t="n">
        <v>17</v>
      </c>
      <c r="C123" s="9" t="s">
        <v>1322</v>
      </c>
      <c r="D123" s="9" t="n">
        <v>1</v>
      </c>
      <c r="E123" s="9" t="n">
        <v>2</v>
      </c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 t="s">
        <v>1323</v>
      </c>
      <c r="Q123" s="9" t="s">
        <v>1324</v>
      </c>
      <c r="R123" s="17" t="s">
        <v>1098</v>
      </c>
      <c r="S123" s="9"/>
      <c r="T123" s="9"/>
    </row>
    <row r="124" customFormat="false" ht="15" hidden="false" customHeight="false" outlineLevel="0" collapsed="false">
      <c r="B124" s="6" t="n">
        <v>17</v>
      </c>
      <c r="F124" s="6" t="s">
        <v>1325</v>
      </c>
      <c r="G124" s="6" t="s">
        <v>213</v>
      </c>
      <c r="H124" s="6" t="n">
        <v>1</v>
      </c>
      <c r="I124" s="7" t="n">
        <v>0.9</v>
      </c>
      <c r="J124" s="7" t="n">
        <v>0.65</v>
      </c>
      <c r="K124" s="16" t="s">
        <v>226</v>
      </c>
      <c r="L124" s="7" t="n">
        <f aca="false">I124*J124</f>
        <v>0.585</v>
      </c>
      <c r="M124" s="7" t="n">
        <v>1.95</v>
      </c>
      <c r="N124" s="7" t="n">
        <v>-31.8</v>
      </c>
      <c r="O124" s="6" t="s">
        <v>621</v>
      </c>
      <c r="P124" s="6"/>
      <c r="Q124" s="6" t="s">
        <v>1326</v>
      </c>
      <c r="R124" s="16" t="s">
        <v>281</v>
      </c>
    </row>
    <row r="125" customFormat="false" ht="15" hidden="false" customHeight="false" outlineLevel="0" collapsed="false">
      <c r="B125" s="6" t="n">
        <v>17</v>
      </c>
      <c r="F125" s="6" t="s">
        <v>1327</v>
      </c>
      <c r="G125" s="6" t="s">
        <v>225</v>
      </c>
      <c r="H125" s="6" t="n">
        <v>1</v>
      </c>
      <c r="I125" s="7" t="n">
        <v>0.3</v>
      </c>
      <c r="J125" s="7" t="n">
        <v>0.7</v>
      </c>
      <c r="K125" s="16" t="s">
        <v>226</v>
      </c>
      <c r="L125" s="7" t="n">
        <f aca="false">I125*J125</f>
        <v>0.21</v>
      </c>
      <c r="M125" s="7" t="n">
        <v>2.95</v>
      </c>
      <c r="N125" s="7" t="n">
        <v>-32.25</v>
      </c>
      <c r="O125" s="6" t="s">
        <v>1200</v>
      </c>
      <c r="P125" s="6" t="s">
        <v>1295</v>
      </c>
      <c r="Q125" s="6" t="s">
        <v>1328</v>
      </c>
      <c r="R125" s="16" t="s">
        <v>1203</v>
      </c>
    </row>
    <row r="126" customFormat="false" ht="15" hidden="false" customHeight="false" outlineLevel="0" collapsed="false">
      <c r="B126" s="6" t="n">
        <v>17</v>
      </c>
      <c r="F126" s="6" t="s">
        <v>303</v>
      </c>
      <c r="G126" s="6" t="s">
        <v>237</v>
      </c>
      <c r="H126" s="6" t="n">
        <v>1</v>
      </c>
      <c r="I126" s="7" t="n">
        <v>0.6</v>
      </c>
      <c r="J126" s="7" t="n">
        <v>0.34</v>
      </c>
      <c r="K126" s="6" t="s">
        <v>220</v>
      </c>
      <c r="L126" s="7" t="n">
        <f aca="false">I126*J126</f>
        <v>0.204</v>
      </c>
      <c r="M126" s="7" t="n">
        <v>1.25</v>
      </c>
      <c r="N126" s="7" t="n">
        <v>-31.62</v>
      </c>
      <c r="O126" s="6" t="s">
        <v>594</v>
      </c>
      <c r="P126" s="6" t="s">
        <v>239</v>
      </c>
      <c r="Q126" s="6" t="s">
        <v>1329</v>
      </c>
    </row>
    <row r="127" customFormat="false" ht="22.35" hidden="false" customHeight="false" outlineLevel="0" collapsed="false">
      <c r="A127" s="12" t="s">
        <v>161</v>
      </c>
      <c r="B127" s="12"/>
      <c r="C127" s="12" t="s">
        <v>162</v>
      </c>
      <c r="D127" s="12"/>
      <c r="E127" s="12"/>
      <c r="F127" s="12" t="s">
        <v>207</v>
      </c>
      <c r="G127" s="12"/>
      <c r="H127" s="12"/>
      <c r="I127" s="13" t="n">
        <v>4</v>
      </c>
      <c r="J127" s="13" t="n">
        <v>1.8</v>
      </c>
      <c r="K127" s="12"/>
      <c r="L127" s="13" t="n">
        <f aca="false">I127*J127</f>
        <v>7.2</v>
      </c>
      <c r="M127" s="13" t="n">
        <v>3.1</v>
      </c>
      <c r="N127" s="13" t="n">
        <v>-28.3</v>
      </c>
      <c r="O127" s="12" t="s">
        <v>1330</v>
      </c>
      <c r="P127" s="12"/>
      <c r="Q127" s="12" t="s">
        <v>1331</v>
      </c>
      <c r="R127" s="12"/>
      <c r="S127" s="13" t="n">
        <f aca="false">SUM(L128:L132)</f>
        <v>1.419</v>
      </c>
      <c r="T127" s="14" t="n">
        <f aca="false">S127/L127</f>
        <v>0.197083333333333</v>
      </c>
    </row>
    <row r="128" customFormat="false" ht="22.35" hidden="false" customHeight="false" outlineLevel="0" collapsed="false">
      <c r="A128" s="9"/>
      <c r="B128" s="9" t="n">
        <v>18</v>
      </c>
      <c r="C128" s="9" t="s">
        <v>1332</v>
      </c>
      <c r="D128" s="9" t="n">
        <v>1</v>
      </c>
      <c r="E128" s="9" t="n">
        <v>1</v>
      </c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 t="s">
        <v>1333</v>
      </c>
      <c r="Q128" s="9" t="s">
        <v>1334</v>
      </c>
      <c r="R128" s="17" t="s">
        <v>1098</v>
      </c>
      <c r="S128" s="9"/>
      <c r="T128" s="9"/>
    </row>
    <row r="129" customFormat="false" ht="15" hidden="false" customHeight="false" outlineLevel="0" collapsed="false">
      <c r="B129" s="6" t="n">
        <v>18</v>
      </c>
      <c r="F129" s="6" t="s">
        <v>1335</v>
      </c>
      <c r="G129" s="6" t="s">
        <v>213</v>
      </c>
      <c r="H129" s="6" t="n">
        <v>1</v>
      </c>
      <c r="I129" s="7" t="n">
        <v>1.35</v>
      </c>
      <c r="J129" s="7" t="n">
        <v>0.75</v>
      </c>
      <c r="K129" s="16" t="s">
        <v>226</v>
      </c>
      <c r="L129" s="7" t="n">
        <f aca="false">I129*J129</f>
        <v>1.0125</v>
      </c>
      <c r="M129" s="7" t="n">
        <v>3.3</v>
      </c>
      <c r="N129" s="7" t="n">
        <v>-27.45</v>
      </c>
      <c r="O129" s="6" t="s">
        <v>594</v>
      </c>
      <c r="P129" s="6"/>
      <c r="Q129" s="6" t="s">
        <v>1336</v>
      </c>
      <c r="R129" s="16" t="s">
        <v>281</v>
      </c>
    </row>
    <row r="130" customFormat="false" ht="15" hidden="false" customHeight="false" outlineLevel="0" collapsed="false">
      <c r="B130" s="6" t="n">
        <v>18</v>
      </c>
      <c r="F130" s="6" t="s">
        <v>303</v>
      </c>
      <c r="G130" s="6" t="s">
        <v>237</v>
      </c>
      <c r="H130" s="6" t="n">
        <v>1</v>
      </c>
      <c r="I130" s="7" t="n">
        <v>0.6</v>
      </c>
      <c r="J130" s="7" t="n">
        <v>0.34</v>
      </c>
      <c r="K130" s="6" t="s">
        <v>220</v>
      </c>
      <c r="L130" s="7" t="n">
        <f aca="false">I130*J130</f>
        <v>0.204</v>
      </c>
      <c r="M130" s="7" t="n">
        <v>5.4</v>
      </c>
      <c r="N130" s="7" t="n">
        <v>-27.17</v>
      </c>
      <c r="O130" s="6" t="s">
        <v>389</v>
      </c>
      <c r="P130" s="6" t="s">
        <v>239</v>
      </c>
      <c r="Q130" s="6" t="s">
        <v>1337</v>
      </c>
    </row>
    <row r="131" customFormat="false" ht="22.35" hidden="false" customHeight="false" outlineLevel="0" collapsed="false">
      <c r="A131" s="9"/>
      <c r="B131" s="9" t="n">
        <v>19</v>
      </c>
      <c r="C131" s="9" t="s">
        <v>1338</v>
      </c>
      <c r="D131" s="9" t="n">
        <v>1</v>
      </c>
      <c r="E131" s="9" t="n">
        <v>1</v>
      </c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 t="s">
        <v>1339</v>
      </c>
      <c r="Q131" s="9" t="s">
        <v>1340</v>
      </c>
      <c r="R131" s="17" t="s">
        <v>1098</v>
      </c>
      <c r="S131" s="9"/>
      <c r="T131" s="9"/>
    </row>
    <row r="132" customFormat="false" ht="15" hidden="false" customHeight="false" outlineLevel="0" collapsed="false">
      <c r="B132" s="6" t="n">
        <v>19</v>
      </c>
      <c r="F132" s="6" t="s">
        <v>1341</v>
      </c>
      <c r="G132" s="6" t="s">
        <v>213</v>
      </c>
      <c r="H132" s="6" t="n">
        <v>1</v>
      </c>
      <c r="I132" s="7" t="n">
        <v>0.45</v>
      </c>
      <c r="J132" s="7" t="n">
        <v>0.45</v>
      </c>
      <c r="K132" s="16" t="s">
        <v>226</v>
      </c>
      <c r="L132" s="7" t="n">
        <f aca="false">I132*J132</f>
        <v>0.2025</v>
      </c>
      <c r="M132" s="7" t="n">
        <v>4.8</v>
      </c>
      <c r="N132" s="7" t="n">
        <v>-27.2</v>
      </c>
      <c r="O132" s="6" t="s">
        <v>621</v>
      </c>
      <c r="P132" s="6"/>
      <c r="Q132" s="6" t="s">
        <v>1342</v>
      </c>
      <c r="R132" s="16" t="s">
        <v>281</v>
      </c>
    </row>
    <row r="133" customFormat="false" ht="15" hidden="false" customHeight="false" outlineLevel="0" collapsed="false">
      <c r="A133" s="12" t="s">
        <v>163</v>
      </c>
      <c r="B133" s="12"/>
      <c r="C133" s="12" t="s">
        <v>164</v>
      </c>
      <c r="D133" s="12"/>
      <c r="E133" s="12"/>
      <c r="F133" s="12" t="s">
        <v>207</v>
      </c>
      <c r="G133" s="12"/>
      <c r="H133" s="12"/>
      <c r="I133" s="13" t="n">
        <v>4</v>
      </c>
      <c r="J133" s="13" t="n">
        <v>2.7</v>
      </c>
      <c r="K133" s="12"/>
      <c r="L133" s="13" t="n">
        <f aca="false">I133*J133</f>
        <v>10.8</v>
      </c>
      <c r="M133" s="13" t="n">
        <v>3.1</v>
      </c>
      <c r="N133" s="13" t="n">
        <v>-32.6</v>
      </c>
      <c r="O133" s="12" t="s">
        <v>1343</v>
      </c>
      <c r="P133" s="12"/>
      <c r="Q133" s="12" t="s">
        <v>1344</v>
      </c>
      <c r="R133" s="12"/>
      <c r="S133" s="13" t="n">
        <f aca="false">SUM(L134:L140)</f>
        <v>3.413</v>
      </c>
      <c r="T133" s="14" t="n">
        <f aca="false">S133/L133</f>
        <v>0.316018518518519</v>
      </c>
    </row>
    <row r="134" customFormat="false" ht="22.35" hidden="false" customHeight="false" outlineLevel="0" collapsed="false">
      <c r="A134" s="9"/>
      <c r="B134" s="9" t="n">
        <v>20</v>
      </c>
      <c r="C134" s="9" t="s">
        <v>1345</v>
      </c>
      <c r="D134" s="9" t="n">
        <v>2</v>
      </c>
      <c r="E134" s="9" t="n">
        <v>1</v>
      </c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 t="s">
        <v>1346</v>
      </c>
      <c r="Q134" s="9" t="s">
        <v>1347</v>
      </c>
      <c r="R134" s="17" t="s">
        <v>1098</v>
      </c>
      <c r="S134" s="9"/>
      <c r="T134" s="9"/>
    </row>
    <row r="135" customFormat="false" ht="15" hidden="false" customHeight="false" outlineLevel="0" collapsed="false">
      <c r="B135" s="6" t="n">
        <v>20</v>
      </c>
      <c r="F135" s="6" t="s">
        <v>1348</v>
      </c>
      <c r="G135" s="6" t="s">
        <v>213</v>
      </c>
      <c r="H135" s="6" t="n">
        <v>1</v>
      </c>
      <c r="I135" s="7" t="n">
        <v>1.25</v>
      </c>
      <c r="J135" s="7" t="n">
        <v>0.95</v>
      </c>
      <c r="K135" s="16" t="s">
        <v>226</v>
      </c>
      <c r="L135" s="7" t="n">
        <f aca="false">I135*J135</f>
        <v>1.1875</v>
      </c>
      <c r="M135" s="7" t="n">
        <v>3.3</v>
      </c>
      <c r="N135" s="7" t="n">
        <v>-32.2</v>
      </c>
      <c r="O135" s="6" t="s">
        <v>594</v>
      </c>
      <c r="P135" s="6"/>
      <c r="Q135" s="6" t="s">
        <v>1349</v>
      </c>
      <c r="R135" s="16" t="s">
        <v>690</v>
      </c>
    </row>
    <row r="136" customFormat="false" ht="15" hidden="false" customHeight="false" outlineLevel="0" collapsed="false">
      <c r="B136" s="6" t="n">
        <v>20</v>
      </c>
      <c r="F136" s="6" t="s">
        <v>1350</v>
      </c>
      <c r="G136" s="6" t="s">
        <v>213</v>
      </c>
      <c r="H136" s="6" t="n">
        <v>1</v>
      </c>
      <c r="I136" s="7" t="n">
        <v>1.25</v>
      </c>
      <c r="J136" s="7" t="n">
        <v>0.95</v>
      </c>
      <c r="K136" s="16" t="s">
        <v>226</v>
      </c>
      <c r="L136" s="7" t="n">
        <f aca="false">I136*J136</f>
        <v>1.1875</v>
      </c>
      <c r="M136" s="7" t="n">
        <v>3.3</v>
      </c>
      <c r="N136" s="7" t="n">
        <v>-31.15</v>
      </c>
      <c r="O136" s="6" t="s">
        <v>594</v>
      </c>
      <c r="P136" s="6"/>
      <c r="Q136" s="6" t="s">
        <v>1351</v>
      </c>
      <c r="R136" s="16" t="s">
        <v>690</v>
      </c>
    </row>
    <row r="137" customFormat="false" ht="15" hidden="false" customHeight="false" outlineLevel="0" collapsed="false">
      <c r="B137" s="6" t="n">
        <v>20</v>
      </c>
      <c r="F137" s="6" t="s">
        <v>1352</v>
      </c>
      <c r="G137" s="6" t="s">
        <v>225</v>
      </c>
      <c r="H137" s="6" t="n">
        <v>1</v>
      </c>
      <c r="I137" s="7" t="n">
        <v>0.7</v>
      </c>
      <c r="J137" s="7" t="n">
        <v>0.45</v>
      </c>
      <c r="K137" s="16" t="s">
        <v>226</v>
      </c>
      <c r="L137" s="7" t="n">
        <f aca="false">I137*J137</f>
        <v>0.315</v>
      </c>
      <c r="M137" s="7" t="n">
        <v>4.7</v>
      </c>
      <c r="N137" s="7" t="n">
        <v>-31.3</v>
      </c>
      <c r="O137" s="6" t="s">
        <v>621</v>
      </c>
      <c r="P137" s="6"/>
      <c r="Q137" s="6" t="s">
        <v>1353</v>
      </c>
      <c r="R137" s="16" t="s">
        <v>281</v>
      </c>
    </row>
    <row r="138" customFormat="false" ht="15" hidden="false" customHeight="false" outlineLevel="0" collapsed="false">
      <c r="B138" s="6" t="n">
        <v>20</v>
      </c>
      <c r="F138" s="6" t="s">
        <v>1354</v>
      </c>
      <c r="G138" s="6" t="s">
        <v>225</v>
      </c>
      <c r="H138" s="6" t="n">
        <v>1</v>
      </c>
      <c r="I138" s="7" t="n">
        <v>0.7</v>
      </c>
      <c r="J138" s="7" t="n">
        <v>0.45</v>
      </c>
      <c r="K138" s="16" t="s">
        <v>226</v>
      </c>
      <c r="L138" s="7" t="n">
        <f aca="false">I138*J138</f>
        <v>0.315</v>
      </c>
      <c r="M138" s="7" t="n">
        <v>4.7</v>
      </c>
      <c r="N138" s="7" t="n">
        <v>-30.75</v>
      </c>
      <c r="O138" s="6" t="s">
        <v>621</v>
      </c>
      <c r="P138" s="6"/>
      <c r="Q138" s="6" t="s">
        <v>1355</v>
      </c>
      <c r="R138" s="16" t="s">
        <v>281</v>
      </c>
    </row>
    <row r="139" customFormat="false" ht="15" hidden="false" customHeight="false" outlineLevel="0" collapsed="false">
      <c r="B139" s="6" t="n">
        <v>20</v>
      </c>
      <c r="F139" s="6" t="s">
        <v>492</v>
      </c>
      <c r="G139" s="6" t="s">
        <v>237</v>
      </c>
      <c r="H139" s="6" t="n">
        <v>1</v>
      </c>
      <c r="I139" s="7" t="n">
        <v>0.6</v>
      </c>
      <c r="J139" s="7" t="n">
        <v>0.34</v>
      </c>
      <c r="K139" s="6" t="s">
        <v>220</v>
      </c>
      <c r="L139" s="7" t="n">
        <f aca="false">I139*J139</f>
        <v>0.204</v>
      </c>
      <c r="M139" s="7" t="n">
        <v>5.4</v>
      </c>
      <c r="N139" s="7" t="n">
        <v>-32.02</v>
      </c>
      <c r="O139" s="6" t="s">
        <v>389</v>
      </c>
      <c r="P139" s="6" t="s">
        <v>239</v>
      </c>
      <c r="Q139" s="6" t="s">
        <v>1356</v>
      </c>
    </row>
    <row r="140" customFormat="false" ht="15" hidden="false" customHeight="false" outlineLevel="0" collapsed="false">
      <c r="B140" s="6" t="n">
        <v>20</v>
      </c>
      <c r="F140" s="6" t="s">
        <v>495</v>
      </c>
      <c r="G140" s="6" t="s">
        <v>237</v>
      </c>
      <c r="H140" s="6" t="n">
        <v>1</v>
      </c>
      <c r="I140" s="7" t="n">
        <v>0.6</v>
      </c>
      <c r="J140" s="7" t="n">
        <v>0.34</v>
      </c>
      <c r="K140" s="6" t="s">
        <v>220</v>
      </c>
      <c r="L140" s="7" t="n">
        <f aca="false">I140*J140</f>
        <v>0.204</v>
      </c>
      <c r="M140" s="7" t="n">
        <v>5.4</v>
      </c>
      <c r="N140" s="7" t="n">
        <v>-31.02</v>
      </c>
      <c r="O140" s="6" t="s">
        <v>389</v>
      </c>
      <c r="P140" s="6" t="s">
        <v>239</v>
      </c>
      <c r="Q140" s="6" t="s">
        <v>1357</v>
      </c>
    </row>
    <row r="141" customFormat="false" ht="22.35" hidden="false" customHeight="false" outlineLevel="0" collapsed="false">
      <c r="A141" s="12" t="s">
        <v>165</v>
      </c>
      <c r="B141" s="12"/>
      <c r="C141" s="12" t="s">
        <v>166</v>
      </c>
      <c r="D141" s="12"/>
      <c r="E141" s="12"/>
      <c r="F141" s="12" t="s">
        <v>207</v>
      </c>
      <c r="G141" s="12"/>
      <c r="H141" s="12"/>
      <c r="I141" s="13" t="n">
        <v>4</v>
      </c>
      <c r="J141" s="13" t="n">
        <v>1.8</v>
      </c>
      <c r="K141" s="12"/>
      <c r="L141" s="13" t="n">
        <f aca="false">I141*J141</f>
        <v>7.2</v>
      </c>
      <c r="M141" s="13" t="n">
        <v>3.1</v>
      </c>
      <c r="N141" s="13" t="n">
        <v>-34.4</v>
      </c>
      <c r="O141" s="12" t="s">
        <v>1358</v>
      </c>
      <c r="P141" s="12"/>
      <c r="Q141" s="12" t="s">
        <v>1359</v>
      </c>
      <c r="R141" s="12"/>
      <c r="S141" s="13" t="n">
        <f aca="false">SUM(L142:L147)</f>
        <v>2.2605</v>
      </c>
      <c r="T141" s="14" t="n">
        <f aca="false">S141/L141</f>
        <v>0.313958333333333</v>
      </c>
    </row>
    <row r="142" customFormat="false" ht="22.35" hidden="false" customHeight="false" outlineLevel="0" collapsed="false">
      <c r="A142" s="9"/>
      <c r="B142" s="9" t="n">
        <v>21</v>
      </c>
      <c r="C142" s="9" t="s">
        <v>1360</v>
      </c>
      <c r="D142" s="9" t="n">
        <v>2</v>
      </c>
      <c r="E142" s="9" t="n">
        <v>2</v>
      </c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 t="s">
        <v>1361</v>
      </c>
      <c r="Q142" s="9" t="s">
        <v>1362</v>
      </c>
      <c r="R142" s="17"/>
      <c r="S142" s="9"/>
      <c r="T142" s="9"/>
    </row>
    <row r="143" customFormat="false" ht="15" hidden="false" customHeight="false" outlineLevel="0" collapsed="false">
      <c r="B143" s="6" t="n">
        <v>21</v>
      </c>
      <c r="F143" s="6" t="s">
        <v>1363</v>
      </c>
      <c r="G143" s="6" t="s">
        <v>213</v>
      </c>
      <c r="H143" s="6" t="n">
        <v>1</v>
      </c>
      <c r="I143" s="7" t="n">
        <v>0.95</v>
      </c>
      <c r="J143" s="7" t="n">
        <v>0.6</v>
      </c>
      <c r="K143" s="16" t="s">
        <v>226</v>
      </c>
      <c r="L143" s="7" t="n">
        <f aca="false">I143*J143</f>
        <v>0.57</v>
      </c>
      <c r="M143" s="7" t="n">
        <v>3.35</v>
      </c>
      <c r="N143" s="7" t="n">
        <v>-33.5</v>
      </c>
      <c r="O143" s="6" t="s">
        <v>594</v>
      </c>
      <c r="P143" s="6"/>
      <c r="Q143" s="6" t="s">
        <v>1364</v>
      </c>
      <c r="R143" s="16" t="s">
        <v>281</v>
      </c>
    </row>
    <row r="144" customFormat="false" ht="15" hidden="false" customHeight="false" outlineLevel="0" collapsed="false">
      <c r="B144" s="6" t="n">
        <v>21</v>
      </c>
      <c r="F144" s="6" t="s">
        <v>1365</v>
      </c>
      <c r="G144" s="6" t="s">
        <v>213</v>
      </c>
      <c r="H144" s="6" t="n">
        <v>1</v>
      </c>
      <c r="I144" s="7" t="n">
        <v>0.95</v>
      </c>
      <c r="J144" s="7" t="n">
        <v>0.6</v>
      </c>
      <c r="K144" s="16" t="s">
        <v>226</v>
      </c>
      <c r="L144" s="7" t="n">
        <f aca="false">I144*J144</f>
        <v>0.57</v>
      </c>
      <c r="M144" s="7" t="n">
        <v>4.4</v>
      </c>
      <c r="N144" s="7" t="n">
        <v>-33.5</v>
      </c>
      <c r="O144" s="6" t="s">
        <v>621</v>
      </c>
      <c r="P144" s="6"/>
      <c r="Q144" s="6" t="s">
        <v>1366</v>
      </c>
      <c r="R144" s="16" t="s">
        <v>281</v>
      </c>
    </row>
    <row r="145" customFormat="false" ht="22.35" hidden="false" customHeight="false" outlineLevel="0" collapsed="false">
      <c r="B145" s="6" t="n">
        <v>21</v>
      </c>
      <c r="F145" s="6" t="s">
        <v>1367</v>
      </c>
      <c r="G145" s="6" t="s">
        <v>253</v>
      </c>
      <c r="H145" s="6" t="n">
        <v>1</v>
      </c>
      <c r="I145" s="7" t="n">
        <v>0.95</v>
      </c>
      <c r="J145" s="7" t="n">
        <v>0.75</v>
      </c>
      <c r="K145" s="16" t="s">
        <v>226</v>
      </c>
      <c r="L145" s="7" t="n">
        <f aca="false">I145*J145</f>
        <v>0.7125</v>
      </c>
      <c r="M145" s="7" t="n">
        <v>5.9</v>
      </c>
      <c r="N145" s="7" t="n">
        <v>-33.95</v>
      </c>
      <c r="O145" s="6" t="s">
        <v>389</v>
      </c>
      <c r="P145" s="6" t="s">
        <v>1083</v>
      </c>
      <c r="Q145" s="6" t="s">
        <v>1368</v>
      </c>
      <c r="R145" s="16" t="s">
        <v>1369</v>
      </c>
    </row>
    <row r="146" customFormat="false" ht="15" hidden="false" customHeight="false" outlineLevel="0" collapsed="false">
      <c r="B146" s="6" t="n">
        <v>21</v>
      </c>
      <c r="F146" s="6" t="s">
        <v>492</v>
      </c>
      <c r="G146" s="6" t="s">
        <v>237</v>
      </c>
      <c r="H146" s="6" t="n">
        <v>1</v>
      </c>
      <c r="I146" s="7" t="n">
        <v>0.6</v>
      </c>
      <c r="J146" s="7" t="n">
        <v>0.34</v>
      </c>
      <c r="K146" s="6" t="s">
        <v>220</v>
      </c>
      <c r="L146" s="7" t="n">
        <f aca="false">I146*J146</f>
        <v>0.204</v>
      </c>
      <c r="M146" s="7" t="n">
        <v>3.55</v>
      </c>
      <c r="N146" s="7" t="n">
        <v>-34</v>
      </c>
      <c r="O146" s="6" t="s">
        <v>476</v>
      </c>
      <c r="P146" s="6" t="s">
        <v>239</v>
      </c>
      <c r="Q146" s="6" t="s">
        <v>1370</v>
      </c>
    </row>
    <row r="147" customFormat="false" ht="15" hidden="false" customHeight="false" outlineLevel="0" collapsed="false">
      <c r="B147" s="6" t="n">
        <v>21</v>
      </c>
      <c r="F147" s="6" t="s">
        <v>495</v>
      </c>
      <c r="G147" s="6" t="s">
        <v>237</v>
      </c>
      <c r="H147" s="6" t="n">
        <v>1</v>
      </c>
      <c r="I147" s="7" t="n">
        <v>0.6</v>
      </c>
      <c r="J147" s="7" t="n">
        <v>0.34</v>
      </c>
      <c r="K147" s="6" t="s">
        <v>220</v>
      </c>
      <c r="L147" s="7" t="n">
        <f aca="false">I147*J147</f>
        <v>0.204</v>
      </c>
      <c r="M147" s="7" t="n">
        <v>4.6</v>
      </c>
      <c r="N147" s="7" t="n">
        <v>-34</v>
      </c>
      <c r="O147" s="6" t="s">
        <v>476</v>
      </c>
      <c r="P147" s="6" t="s">
        <v>239</v>
      </c>
      <c r="Q147" s="6" t="s">
        <v>1371</v>
      </c>
    </row>
    <row r="148" customFormat="false" ht="22.35" hidden="false" customHeight="false" outlineLevel="0" collapsed="false">
      <c r="A148" s="12" t="s">
        <v>167</v>
      </c>
      <c r="B148" s="12"/>
      <c r="C148" s="12" t="s">
        <v>168</v>
      </c>
      <c r="D148" s="12"/>
      <c r="E148" s="12"/>
      <c r="F148" s="12" t="s">
        <v>207</v>
      </c>
      <c r="G148" s="12"/>
      <c r="H148" s="12"/>
      <c r="I148" s="13" t="n">
        <v>3.2</v>
      </c>
      <c r="J148" s="13" t="n">
        <v>2.5</v>
      </c>
      <c r="K148" s="12"/>
      <c r="L148" s="13" t="n">
        <f aca="false">I148*J148</f>
        <v>8</v>
      </c>
      <c r="M148" s="13" t="n">
        <v>9.4</v>
      </c>
      <c r="N148" s="13" t="n">
        <v>-23.6</v>
      </c>
      <c r="O148" s="12" t="s">
        <v>1372</v>
      </c>
      <c r="P148" s="12"/>
      <c r="Q148" s="12" t="s">
        <v>1373</v>
      </c>
      <c r="R148" s="12"/>
      <c r="S148" s="13" t="n">
        <f aca="false">SUM(L149:L155)</f>
        <v>1.619</v>
      </c>
      <c r="T148" s="14" t="n">
        <f aca="false">S148/L148</f>
        <v>0.202375</v>
      </c>
    </row>
    <row r="149" customFormat="false" ht="22.35" hidden="false" customHeight="false" outlineLevel="0" collapsed="false">
      <c r="A149" s="9"/>
      <c r="B149" s="9" t="n">
        <v>22</v>
      </c>
      <c r="C149" s="9" t="s">
        <v>1374</v>
      </c>
      <c r="D149" s="9" t="n">
        <v>1</v>
      </c>
      <c r="E149" s="9" t="n">
        <v>1</v>
      </c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 t="s">
        <v>1375</v>
      </c>
      <c r="Q149" s="9" t="s">
        <v>1376</v>
      </c>
      <c r="R149" s="17" t="s">
        <v>1098</v>
      </c>
      <c r="S149" s="9"/>
      <c r="T149" s="9"/>
    </row>
    <row r="150" customFormat="false" ht="15" hidden="false" customHeight="false" outlineLevel="0" collapsed="false">
      <c r="B150" s="6" t="n">
        <v>22</v>
      </c>
      <c r="F150" s="6" t="s">
        <v>1377</v>
      </c>
      <c r="G150" s="6" t="s">
        <v>213</v>
      </c>
      <c r="H150" s="6" t="n">
        <v>1</v>
      </c>
      <c r="I150" s="7" t="n">
        <v>0.7</v>
      </c>
      <c r="J150" s="7" t="n">
        <v>0.6</v>
      </c>
      <c r="K150" s="16" t="s">
        <v>226</v>
      </c>
      <c r="L150" s="7" t="n">
        <f aca="false">I150*J150</f>
        <v>0.42</v>
      </c>
      <c r="M150" s="7" t="n">
        <v>11.85</v>
      </c>
      <c r="N150" s="7" t="n">
        <v>-23.15</v>
      </c>
      <c r="O150" s="6" t="s">
        <v>389</v>
      </c>
      <c r="P150" s="6"/>
      <c r="Q150" s="6" t="s">
        <v>1378</v>
      </c>
      <c r="R150" s="16" t="s">
        <v>281</v>
      </c>
    </row>
    <row r="151" customFormat="false" ht="15" hidden="false" customHeight="false" outlineLevel="0" collapsed="false">
      <c r="B151" s="6" t="n">
        <v>22</v>
      </c>
      <c r="F151" s="6" t="s">
        <v>920</v>
      </c>
      <c r="G151" s="6" t="s">
        <v>213</v>
      </c>
      <c r="H151" s="6" t="n">
        <v>1</v>
      </c>
      <c r="I151" s="7" t="n">
        <v>0.7</v>
      </c>
      <c r="J151" s="7" t="n">
        <v>0.65</v>
      </c>
      <c r="K151" s="16" t="s">
        <v>226</v>
      </c>
      <c r="L151" s="7" t="n">
        <f aca="false">I151*J151</f>
        <v>0.455</v>
      </c>
      <c r="M151" s="7" t="n">
        <v>11.85</v>
      </c>
      <c r="N151" s="7" t="n">
        <v>-22.45</v>
      </c>
      <c r="O151" s="6" t="s">
        <v>389</v>
      </c>
      <c r="P151" s="6"/>
      <c r="Q151" s="6" t="s">
        <v>1379</v>
      </c>
      <c r="R151" s="16" t="s">
        <v>281</v>
      </c>
    </row>
    <row r="152" customFormat="false" ht="15" hidden="false" customHeight="false" outlineLevel="0" collapsed="false">
      <c r="B152" s="6" t="n">
        <v>22</v>
      </c>
      <c r="F152" s="6" t="s">
        <v>1380</v>
      </c>
      <c r="G152" s="6" t="s">
        <v>225</v>
      </c>
      <c r="H152" s="6" t="n">
        <v>1</v>
      </c>
      <c r="I152" s="7" t="n">
        <v>0.45</v>
      </c>
      <c r="J152" s="7" t="n">
        <v>0.4</v>
      </c>
      <c r="K152" s="16" t="s">
        <v>226</v>
      </c>
      <c r="L152" s="7" t="n">
        <f aca="false">I152*J152</f>
        <v>0.18</v>
      </c>
      <c r="M152" s="7" t="n">
        <v>9.95</v>
      </c>
      <c r="N152" s="7" t="n">
        <v>-21.95</v>
      </c>
      <c r="O152" s="6" t="s">
        <v>476</v>
      </c>
      <c r="P152" s="6"/>
      <c r="Q152" s="6" t="s">
        <v>1381</v>
      </c>
      <c r="R152" s="16" t="s">
        <v>281</v>
      </c>
    </row>
    <row r="153" customFormat="false" ht="15" hidden="false" customHeight="false" outlineLevel="0" collapsed="false">
      <c r="B153" s="6" t="n">
        <v>22</v>
      </c>
      <c r="F153" s="6" t="s">
        <v>1382</v>
      </c>
      <c r="G153" s="6" t="s">
        <v>225</v>
      </c>
      <c r="H153" s="6" t="n">
        <v>1</v>
      </c>
      <c r="I153" s="7" t="n">
        <v>0.45</v>
      </c>
      <c r="J153" s="7" t="n">
        <v>0.4</v>
      </c>
      <c r="K153" s="16" t="s">
        <v>226</v>
      </c>
      <c r="L153" s="7" t="n">
        <f aca="false">I153*J153</f>
        <v>0.18</v>
      </c>
      <c r="M153" s="7" t="n">
        <v>10.45</v>
      </c>
      <c r="N153" s="7" t="n">
        <v>-21.95</v>
      </c>
      <c r="O153" s="6" t="s">
        <v>476</v>
      </c>
      <c r="P153" s="6"/>
      <c r="Q153" s="6" t="s">
        <v>1383</v>
      </c>
      <c r="R153" s="16" t="s">
        <v>281</v>
      </c>
    </row>
    <row r="154" customFormat="false" ht="15" hidden="false" customHeight="false" outlineLevel="0" collapsed="false">
      <c r="B154" s="6" t="n">
        <v>22</v>
      </c>
      <c r="F154" s="6" t="s">
        <v>1384</v>
      </c>
      <c r="G154" s="6" t="s">
        <v>225</v>
      </c>
      <c r="H154" s="6" t="n">
        <v>1</v>
      </c>
      <c r="I154" s="7" t="n">
        <v>0.45</v>
      </c>
      <c r="J154" s="7" t="n">
        <v>0.4</v>
      </c>
      <c r="K154" s="16" t="s">
        <v>226</v>
      </c>
      <c r="L154" s="7" t="n">
        <f aca="false">I154*J154</f>
        <v>0.18</v>
      </c>
      <c r="M154" s="7" t="n">
        <v>10.95</v>
      </c>
      <c r="N154" s="7" t="n">
        <v>-21.95</v>
      </c>
      <c r="O154" s="6" t="s">
        <v>476</v>
      </c>
      <c r="P154" s="6"/>
      <c r="Q154" s="6" t="s">
        <v>1385</v>
      </c>
      <c r="R154" s="16" t="s">
        <v>281</v>
      </c>
    </row>
    <row r="155" customFormat="false" ht="15" hidden="false" customHeight="false" outlineLevel="0" collapsed="false">
      <c r="B155" s="6" t="n">
        <v>22</v>
      </c>
      <c r="F155" s="6" t="s">
        <v>303</v>
      </c>
      <c r="G155" s="6" t="s">
        <v>237</v>
      </c>
      <c r="H155" s="6" t="n">
        <v>1</v>
      </c>
      <c r="I155" s="7" t="n">
        <v>0.6</v>
      </c>
      <c r="J155" s="7" t="n">
        <v>0.34</v>
      </c>
      <c r="K155" s="6" t="s">
        <v>220</v>
      </c>
      <c r="L155" s="7" t="n">
        <f aca="false">I155*J155</f>
        <v>0.204</v>
      </c>
      <c r="M155" s="7" t="n">
        <v>10.85</v>
      </c>
      <c r="N155" s="7" t="n">
        <v>-22.97</v>
      </c>
      <c r="O155" s="6" t="s">
        <v>621</v>
      </c>
      <c r="P155" s="6" t="s">
        <v>239</v>
      </c>
      <c r="Q155" s="6" t="s">
        <v>1386</v>
      </c>
    </row>
    <row r="156" customFormat="false" ht="22.35" hidden="false" customHeight="false" outlineLevel="0" collapsed="false">
      <c r="A156" s="12" t="s">
        <v>169</v>
      </c>
      <c r="B156" s="12"/>
      <c r="C156" s="12" t="s">
        <v>170</v>
      </c>
      <c r="D156" s="12"/>
      <c r="E156" s="12"/>
      <c r="F156" s="12" t="s">
        <v>207</v>
      </c>
      <c r="G156" s="12"/>
      <c r="H156" s="12"/>
      <c r="I156" s="13" t="n">
        <v>4</v>
      </c>
      <c r="J156" s="13" t="n">
        <v>4.5</v>
      </c>
      <c r="K156" s="12"/>
      <c r="L156" s="13" t="n">
        <v>16.72</v>
      </c>
      <c r="M156" s="13" t="n">
        <v>3.1</v>
      </c>
      <c r="N156" s="13" t="n">
        <v>-22</v>
      </c>
      <c r="O156" s="12" t="s">
        <v>1387</v>
      </c>
      <c r="P156" s="12"/>
      <c r="Q156" s="12" t="s">
        <v>1388</v>
      </c>
      <c r="R156" s="12"/>
      <c r="S156" s="13" t="n">
        <f aca="false">SUM(L157:L158)</f>
        <v>1.5</v>
      </c>
      <c r="T156" s="14" t="n">
        <f aca="false">S156/L156</f>
        <v>0.0897129186602871</v>
      </c>
    </row>
    <row r="157" customFormat="false" ht="22.35" hidden="false" customHeight="false" outlineLevel="0" collapsed="false">
      <c r="F157" s="6" t="s">
        <v>1389</v>
      </c>
      <c r="G157" s="6" t="s">
        <v>253</v>
      </c>
      <c r="H157" s="6" t="n">
        <v>1</v>
      </c>
      <c r="I157" s="7" t="n">
        <v>1</v>
      </c>
      <c r="J157" s="7" t="n">
        <v>0.75</v>
      </c>
      <c r="K157" s="16" t="s">
        <v>226</v>
      </c>
      <c r="L157" s="7" t="n">
        <f aca="false">I157*J157</f>
        <v>0.75</v>
      </c>
      <c r="M157" s="7" t="n">
        <v>3.5</v>
      </c>
      <c r="N157" s="7" t="n">
        <v>-21.45</v>
      </c>
      <c r="O157" s="6" t="s">
        <v>505</v>
      </c>
      <c r="P157" s="6" t="s">
        <v>1083</v>
      </c>
      <c r="Q157" s="6" t="s">
        <v>1390</v>
      </c>
      <c r="R157" s="16" t="s">
        <v>1391</v>
      </c>
    </row>
    <row r="158" customFormat="false" ht="22.35" hidden="false" customHeight="false" outlineLevel="0" collapsed="false">
      <c r="F158" s="6" t="s">
        <v>1392</v>
      </c>
      <c r="G158" s="6" t="s">
        <v>253</v>
      </c>
      <c r="H158" s="6" t="n">
        <v>1</v>
      </c>
      <c r="I158" s="7" t="n">
        <v>1</v>
      </c>
      <c r="J158" s="7" t="n">
        <v>0.75</v>
      </c>
      <c r="K158" s="16" t="s">
        <v>226</v>
      </c>
      <c r="L158" s="7" t="n">
        <f aca="false">I158*J158</f>
        <v>0.75</v>
      </c>
      <c r="M158" s="7" t="n">
        <v>4.65</v>
      </c>
      <c r="N158" s="7" t="n">
        <v>-21.45</v>
      </c>
      <c r="O158" s="6" t="s">
        <v>386</v>
      </c>
      <c r="P158" s="6" t="s">
        <v>1083</v>
      </c>
      <c r="Q158" s="6" t="s">
        <v>1393</v>
      </c>
      <c r="R158" s="16" t="s">
        <v>1391</v>
      </c>
    </row>
    <row r="159" customFormat="false" ht="22.35" hidden="false" customHeight="false" outlineLevel="0" collapsed="false">
      <c r="A159" s="12" t="s">
        <v>171</v>
      </c>
      <c r="B159" s="12"/>
      <c r="C159" s="12" t="s">
        <v>172</v>
      </c>
      <c r="D159" s="12"/>
      <c r="E159" s="12"/>
      <c r="F159" s="12" t="s">
        <v>207</v>
      </c>
      <c r="G159" s="12"/>
      <c r="H159" s="12"/>
      <c r="I159" s="13" t="n">
        <v>2</v>
      </c>
      <c r="J159" s="13" t="n">
        <v>0.95</v>
      </c>
      <c r="K159" s="12"/>
      <c r="L159" s="13" t="n">
        <f aca="false">I159*J159</f>
        <v>1.9</v>
      </c>
      <c r="M159" s="13" t="n">
        <v>-2.5</v>
      </c>
      <c r="N159" s="13" t="n">
        <v>-30.2</v>
      </c>
      <c r="O159" s="12" t="s">
        <v>1394</v>
      </c>
      <c r="P159" s="12"/>
      <c r="Q159" s="12" t="s">
        <v>1395</v>
      </c>
      <c r="R159" s="12"/>
      <c r="S159" s="13" t="n">
        <f aca="false">SUM(L160:L161)</f>
        <v>0.9075</v>
      </c>
      <c r="T159" s="14" t="n">
        <f aca="false">S159/L159</f>
        <v>0.477631578947368</v>
      </c>
    </row>
    <row r="160" customFormat="false" ht="15" hidden="false" customHeight="false" outlineLevel="0" collapsed="false">
      <c r="F160" s="6" t="s">
        <v>1396</v>
      </c>
      <c r="G160" s="6" t="s">
        <v>225</v>
      </c>
      <c r="H160" s="6" t="n">
        <v>1</v>
      </c>
      <c r="I160" s="7" t="n">
        <v>0.8</v>
      </c>
      <c r="J160" s="7" t="n">
        <v>0.55</v>
      </c>
      <c r="K160" s="16" t="s">
        <v>226</v>
      </c>
      <c r="L160" s="7" t="n">
        <f aca="false">I160*J160</f>
        <v>0.44</v>
      </c>
      <c r="M160" s="7" t="n">
        <v>-2.35</v>
      </c>
      <c r="N160" s="7" t="n">
        <v>-29.88</v>
      </c>
      <c r="O160" s="6" t="s">
        <v>594</v>
      </c>
      <c r="P160" s="6"/>
      <c r="Q160" s="6" t="s">
        <v>1397</v>
      </c>
      <c r="R160" s="16" t="s">
        <v>1398</v>
      </c>
    </row>
    <row r="161" customFormat="false" ht="15" hidden="false" customHeight="false" outlineLevel="0" collapsed="false">
      <c r="F161" s="6" t="s">
        <v>1399</v>
      </c>
      <c r="G161" s="6" t="s">
        <v>225</v>
      </c>
      <c r="H161" s="6" t="n">
        <v>1</v>
      </c>
      <c r="I161" s="7" t="n">
        <v>0.85</v>
      </c>
      <c r="J161" s="7" t="n">
        <v>0.55</v>
      </c>
      <c r="K161" s="16" t="s">
        <v>226</v>
      </c>
      <c r="L161" s="7" t="n">
        <f aca="false">I161*J161</f>
        <v>0.4675</v>
      </c>
      <c r="M161" s="7" t="n">
        <v>-1.45</v>
      </c>
      <c r="N161" s="7" t="n">
        <v>-29.88</v>
      </c>
      <c r="O161" s="6" t="s">
        <v>389</v>
      </c>
      <c r="P161" s="6" t="s">
        <v>1400</v>
      </c>
      <c r="Q161" s="6" t="s">
        <v>1401</v>
      </c>
      <c r="R161" s="16" t="s">
        <v>1398</v>
      </c>
    </row>
    <row r="162" customFormat="false" ht="15" hidden="false" customHeight="false" outlineLevel="0" collapsed="false">
      <c r="A162" s="12" t="s">
        <v>173</v>
      </c>
      <c r="B162" s="12"/>
      <c r="C162" s="12" t="s">
        <v>174</v>
      </c>
      <c r="D162" s="12"/>
      <c r="E162" s="12"/>
      <c r="F162" s="12" t="s">
        <v>207</v>
      </c>
      <c r="G162" s="12"/>
      <c r="H162" s="12"/>
      <c r="I162" s="13" t="n">
        <v>2</v>
      </c>
      <c r="J162" s="13" t="n">
        <v>2.2</v>
      </c>
      <c r="K162" s="12"/>
      <c r="L162" s="13" t="n">
        <f aca="false">I162*J162</f>
        <v>4.4</v>
      </c>
      <c r="M162" s="13" t="n">
        <v>-2.5</v>
      </c>
      <c r="N162" s="13" t="n">
        <v>-29.25</v>
      </c>
      <c r="O162" s="12" t="s">
        <v>1402</v>
      </c>
      <c r="P162" s="12"/>
      <c r="Q162" s="12" t="s">
        <v>1403</v>
      </c>
      <c r="R162" s="12"/>
      <c r="S162" s="13" t="n">
        <f aca="false">SUM(L163:L165)</f>
        <v>1.68</v>
      </c>
      <c r="T162" s="14" t="n">
        <f aca="false">S162/L162</f>
        <v>0.381818181818182</v>
      </c>
    </row>
    <row r="163" customFormat="false" ht="22.35" hidden="false" customHeight="false" outlineLevel="0" collapsed="false">
      <c r="A163" s="9"/>
      <c r="B163" s="9" t="n">
        <v>15</v>
      </c>
      <c r="C163" s="9" t="s">
        <v>1284</v>
      </c>
      <c r="D163" s="9" t="n">
        <v>2</v>
      </c>
      <c r="E163" s="9" t="n">
        <v>2</v>
      </c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 t="s">
        <v>1285</v>
      </c>
      <c r="Q163" s="9" t="s">
        <v>1286</v>
      </c>
      <c r="R163" s="17" t="s">
        <v>1098</v>
      </c>
      <c r="S163" s="9"/>
      <c r="T163" s="9"/>
    </row>
    <row r="164" customFormat="false" ht="15" hidden="false" customHeight="false" outlineLevel="0" collapsed="false">
      <c r="B164" s="6" t="n">
        <v>15</v>
      </c>
      <c r="F164" s="6" t="s">
        <v>1404</v>
      </c>
      <c r="G164" s="6" t="s">
        <v>225</v>
      </c>
      <c r="H164" s="6" t="n">
        <v>1</v>
      </c>
      <c r="I164" s="7" t="n">
        <v>1.1</v>
      </c>
      <c r="J164" s="7" t="n">
        <v>1.05</v>
      </c>
      <c r="K164" s="16" t="s">
        <v>226</v>
      </c>
      <c r="L164" s="7" t="n">
        <f aca="false">I164*J164</f>
        <v>1.155</v>
      </c>
      <c r="M164" s="7" t="n">
        <v>-2.3</v>
      </c>
      <c r="N164" s="7" t="n">
        <v>-28.75</v>
      </c>
      <c r="O164" s="6" t="s">
        <v>594</v>
      </c>
      <c r="P164" s="6"/>
      <c r="Q164" s="6" t="s">
        <v>1405</v>
      </c>
      <c r="R164" s="16" t="s">
        <v>281</v>
      </c>
    </row>
    <row r="165" customFormat="false" ht="15" hidden="false" customHeight="false" outlineLevel="0" collapsed="false">
      <c r="B165" s="6" t="n">
        <v>15</v>
      </c>
      <c r="F165" s="6" t="s">
        <v>1406</v>
      </c>
      <c r="G165" s="6" t="s">
        <v>225</v>
      </c>
      <c r="H165" s="6" t="n">
        <v>1</v>
      </c>
      <c r="I165" s="7" t="n">
        <v>0.5</v>
      </c>
      <c r="J165" s="7" t="n">
        <v>1.05</v>
      </c>
      <c r="K165" s="16" t="s">
        <v>226</v>
      </c>
      <c r="L165" s="7" t="n">
        <f aca="false">I165*J165</f>
        <v>0.525</v>
      </c>
      <c r="M165" s="7" t="n">
        <v>-1.1</v>
      </c>
      <c r="N165" s="7" t="n">
        <v>-28.75</v>
      </c>
      <c r="O165" s="6" t="s">
        <v>389</v>
      </c>
      <c r="P165" s="6"/>
      <c r="Q165" s="6" t="s">
        <v>1407</v>
      </c>
      <c r="R165" s="16" t="s">
        <v>281</v>
      </c>
    </row>
    <row r="166" customFormat="false" ht="15" hidden="false" customHeight="false" outlineLevel="0" collapsed="false">
      <c r="A166" s="12" t="s">
        <v>175</v>
      </c>
      <c r="B166" s="12"/>
      <c r="C166" s="12" t="s">
        <v>176</v>
      </c>
      <c r="D166" s="12"/>
      <c r="E166" s="12"/>
      <c r="F166" s="12" t="s">
        <v>207</v>
      </c>
      <c r="G166" s="12"/>
      <c r="H166" s="12"/>
      <c r="I166" s="13" t="n">
        <v>2</v>
      </c>
      <c r="J166" s="13" t="n">
        <v>1.95</v>
      </c>
      <c r="K166" s="12"/>
      <c r="L166" s="13" t="n">
        <f aca="false">I166*J166</f>
        <v>3.9</v>
      </c>
      <c r="M166" s="13" t="n">
        <v>1.1</v>
      </c>
      <c r="N166" s="13" t="n">
        <v>-34.4</v>
      </c>
      <c r="O166" s="12" t="s">
        <v>1408</v>
      </c>
      <c r="P166" s="12"/>
      <c r="Q166" s="12" t="s">
        <v>1409</v>
      </c>
      <c r="R166" s="12"/>
      <c r="S166" s="13" t="n">
        <f aca="false">SUM(L167:L168)</f>
        <v>1.0925</v>
      </c>
      <c r="T166" s="14" t="n">
        <f aca="false">S166/L166</f>
        <v>0.280128205128205</v>
      </c>
    </row>
    <row r="167" customFormat="false" ht="22.35" hidden="false" customHeight="false" outlineLevel="0" collapsed="false">
      <c r="A167" s="9"/>
      <c r="B167" s="9" t="n">
        <v>16</v>
      </c>
      <c r="C167" s="9" t="s">
        <v>1311</v>
      </c>
      <c r="D167" s="9" t="n">
        <v>2</v>
      </c>
      <c r="E167" s="9" t="n">
        <v>2</v>
      </c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 t="s">
        <v>1312</v>
      </c>
      <c r="Q167" s="9" t="s">
        <v>1313</v>
      </c>
      <c r="R167" s="17" t="s">
        <v>1098</v>
      </c>
      <c r="S167" s="9"/>
      <c r="T167" s="9"/>
    </row>
    <row r="168" customFormat="false" ht="15" hidden="false" customHeight="false" outlineLevel="0" collapsed="false">
      <c r="B168" s="6" t="n">
        <v>16</v>
      </c>
      <c r="F168" s="6" t="s">
        <v>1410</v>
      </c>
      <c r="G168" s="6" t="s">
        <v>225</v>
      </c>
      <c r="H168" s="6" t="n">
        <v>1</v>
      </c>
      <c r="I168" s="7" t="n">
        <v>0.95</v>
      </c>
      <c r="J168" s="7" t="n">
        <v>1.15</v>
      </c>
      <c r="K168" s="16" t="s">
        <v>226</v>
      </c>
      <c r="L168" s="7" t="n">
        <f aca="false">I168*J168</f>
        <v>1.0925</v>
      </c>
      <c r="M168" s="7" t="n">
        <v>1.95</v>
      </c>
      <c r="N168" s="7" t="n">
        <v>-33.85</v>
      </c>
      <c r="O168" s="6" t="s">
        <v>389</v>
      </c>
      <c r="P168" s="6"/>
      <c r="Q168" s="6" t="s">
        <v>1411</v>
      </c>
      <c r="R168" s="16" t="s">
        <v>281</v>
      </c>
    </row>
    <row r="169" customFormat="false" ht="22.35" hidden="false" customHeight="false" outlineLevel="0" collapsed="false">
      <c r="A169" s="12" t="s">
        <v>177</v>
      </c>
      <c r="B169" s="12"/>
      <c r="C169" s="12" t="s">
        <v>178</v>
      </c>
      <c r="D169" s="12"/>
      <c r="E169" s="12"/>
      <c r="F169" s="12" t="s">
        <v>207</v>
      </c>
      <c r="G169" s="12"/>
      <c r="H169" s="12"/>
      <c r="I169" s="13" t="n">
        <v>8.5</v>
      </c>
      <c r="J169" s="13" t="n">
        <v>2.5</v>
      </c>
      <c r="K169" s="12"/>
      <c r="L169" s="13" t="n">
        <f aca="false">I169*J169</f>
        <v>21.25</v>
      </c>
      <c r="M169" s="13" t="n">
        <v>9.4</v>
      </c>
      <c r="N169" s="13" t="n">
        <v>-39.65</v>
      </c>
      <c r="O169" s="12" t="s">
        <v>1412</v>
      </c>
      <c r="P169" s="12"/>
      <c r="Q169" s="12" t="s">
        <v>1413</v>
      </c>
      <c r="R169" s="12"/>
      <c r="S169" s="13" t="n">
        <f aca="false">SUM(L170:L170)</f>
        <v>20.04</v>
      </c>
      <c r="T169" s="14" t="n">
        <f aca="false">S169/L169</f>
        <v>0.943058823529412</v>
      </c>
    </row>
    <row r="170" customFormat="false" ht="32.8" hidden="false" customHeight="false" outlineLevel="0" collapsed="false">
      <c r="F170" s="6" t="s">
        <v>1414</v>
      </c>
      <c r="G170" s="6" t="s">
        <v>253</v>
      </c>
      <c r="H170" s="6" t="n">
        <v>16</v>
      </c>
      <c r="I170" s="7" t="n">
        <v>8.35</v>
      </c>
      <c r="J170" s="7" t="n">
        <v>2.4</v>
      </c>
      <c r="K170" s="16" t="s">
        <v>226</v>
      </c>
      <c r="L170" s="7" t="n">
        <f aca="false">I170*J170</f>
        <v>20.04</v>
      </c>
      <c r="M170" s="7" t="n">
        <v>9.5</v>
      </c>
      <c r="N170" s="7" t="n">
        <v>-39.55</v>
      </c>
      <c r="O170" s="6" t="s">
        <v>1415</v>
      </c>
      <c r="P170" s="6" t="s">
        <v>1416</v>
      </c>
      <c r="Q170" s="6" t="s">
        <v>1417</v>
      </c>
      <c r="R170" s="16" t="s">
        <v>1418</v>
      </c>
    </row>
    <row r="171" customFormat="false" ht="22.35" hidden="false" customHeight="false" outlineLevel="0" collapsed="false">
      <c r="A171" s="12" t="s">
        <v>179</v>
      </c>
      <c r="B171" s="12"/>
      <c r="C171" s="12" t="s">
        <v>180</v>
      </c>
      <c r="D171" s="12"/>
      <c r="E171" s="12"/>
      <c r="F171" s="12" t="s">
        <v>207</v>
      </c>
      <c r="G171" s="12"/>
      <c r="H171" s="12"/>
      <c r="I171" s="13" t="n">
        <v>8.5</v>
      </c>
      <c r="J171" s="13" t="n">
        <v>2.5</v>
      </c>
      <c r="K171" s="12"/>
      <c r="L171" s="13" t="n">
        <f aca="false">I171*J171</f>
        <v>21.25</v>
      </c>
      <c r="M171" s="13" t="n">
        <v>-2.5</v>
      </c>
      <c r="N171" s="13" t="n">
        <v>-39.65</v>
      </c>
      <c r="O171" s="12" t="s">
        <v>1412</v>
      </c>
      <c r="P171" s="12"/>
      <c r="Q171" s="12" t="s">
        <v>1419</v>
      </c>
      <c r="R171" s="12"/>
      <c r="S171" s="13" t="n">
        <f aca="false">SUM(L172:L172)</f>
        <v>20.04</v>
      </c>
      <c r="T171" s="14" t="n">
        <f aca="false">S171/L171</f>
        <v>0.943058823529412</v>
      </c>
    </row>
    <row r="172" customFormat="false" ht="32.8" hidden="false" customHeight="false" outlineLevel="0" collapsed="false">
      <c r="F172" s="6" t="s">
        <v>1420</v>
      </c>
      <c r="G172" s="6" t="s">
        <v>253</v>
      </c>
      <c r="H172" s="6" t="n">
        <v>16</v>
      </c>
      <c r="I172" s="7" t="n">
        <v>8.35</v>
      </c>
      <c r="J172" s="7" t="n">
        <v>2.4</v>
      </c>
      <c r="K172" s="16" t="s">
        <v>226</v>
      </c>
      <c r="L172" s="7" t="n">
        <f aca="false">I172*J172</f>
        <v>20.04</v>
      </c>
      <c r="M172" s="7" t="n">
        <v>-2.4</v>
      </c>
      <c r="N172" s="7" t="n">
        <v>-39.55</v>
      </c>
      <c r="O172" s="6" t="s">
        <v>1415</v>
      </c>
      <c r="P172" s="6" t="s">
        <v>1416</v>
      </c>
      <c r="Q172" s="6" t="s">
        <v>1421</v>
      </c>
      <c r="R172" s="16" t="s">
        <v>1418</v>
      </c>
    </row>
    <row r="173" customFormat="false" ht="15" hidden="false" customHeight="false" outlineLevel="0" collapsed="false">
      <c r="A173" s="12" t="s">
        <v>181</v>
      </c>
      <c r="B173" s="12"/>
      <c r="C173" s="12" t="s">
        <v>182</v>
      </c>
      <c r="D173" s="12"/>
      <c r="E173" s="12"/>
      <c r="F173" s="12" t="s">
        <v>207</v>
      </c>
      <c r="G173" s="12"/>
      <c r="H173" s="12"/>
      <c r="I173" s="13" t="n">
        <v>1.1</v>
      </c>
      <c r="J173" s="13" t="n">
        <v>2.5</v>
      </c>
      <c r="K173" s="12"/>
      <c r="L173" s="13" t="n">
        <f aca="false">I173*J173</f>
        <v>2.75</v>
      </c>
      <c r="M173" s="13" t="n">
        <v>6</v>
      </c>
      <c r="N173" s="13" t="n">
        <v>-39.65</v>
      </c>
      <c r="O173" s="12" t="s">
        <v>1422</v>
      </c>
      <c r="P173" s="12"/>
      <c r="Q173" s="12" t="s">
        <v>1423</v>
      </c>
      <c r="R173" s="12"/>
      <c r="S173" s="13" t="n">
        <f aca="false">SUM(L174:L174)</f>
        <v>2.4</v>
      </c>
      <c r="T173" s="14" t="n">
        <f aca="false">S173/L173</f>
        <v>0.872727272727273</v>
      </c>
    </row>
    <row r="174" customFormat="false" ht="15" hidden="false" customHeight="false" outlineLevel="0" collapsed="false">
      <c r="F174" s="6" t="s">
        <v>1424</v>
      </c>
      <c r="G174" s="6" t="s">
        <v>253</v>
      </c>
      <c r="H174" s="6" t="n">
        <v>2</v>
      </c>
      <c r="I174" s="7" t="n">
        <v>1</v>
      </c>
      <c r="J174" s="7" t="n">
        <v>2.4</v>
      </c>
      <c r="K174" s="16" t="s">
        <v>226</v>
      </c>
      <c r="L174" s="7" t="n">
        <f aca="false">I174*J174</f>
        <v>2.4</v>
      </c>
      <c r="M174" s="7" t="n">
        <v>6.05</v>
      </c>
      <c r="N174" s="7" t="n">
        <v>-39.55</v>
      </c>
      <c r="O174" s="6" t="s">
        <v>1415</v>
      </c>
      <c r="P174" s="6" t="s">
        <v>1425</v>
      </c>
      <c r="Q174" s="6" t="s">
        <v>1426</v>
      </c>
      <c r="R174" s="16" t="s">
        <v>281</v>
      </c>
    </row>
    <row r="175" customFormat="false" ht="15" hidden="false" customHeight="false" outlineLevel="0" collapsed="false">
      <c r="A175" s="12" t="s">
        <v>183</v>
      </c>
      <c r="B175" s="12"/>
      <c r="C175" s="12" t="s">
        <v>184</v>
      </c>
      <c r="D175" s="12"/>
      <c r="E175" s="12"/>
      <c r="F175" s="12" t="s">
        <v>207</v>
      </c>
      <c r="G175" s="12"/>
      <c r="H175" s="12"/>
      <c r="I175" s="13" t="n">
        <v>1.5</v>
      </c>
      <c r="J175" s="13" t="n">
        <v>2.5</v>
      </c>
      <c r="K175" s="12"/>
      <c r="L175" s="13" t="n">
        <f aca="false">I175*J175</f>
        <v>3.75</v>
      </c>
      <c r="M175" s="13" t="n">
        <v>17.9</v>
      </c>
      <c r="N175" s="13" t="n">
        <v>-39.65</v>
      </c>
      <c r="O175" s="12" t="s">
        <v>1427</v>
      </c>
      <c r="P175" s="12"/>
      <c r="Q175" s="12" t="s">
        <v>1428</v>
      </c>
      <c r="R175" s="12"/>
      <c r="S175" s="13" t="n">
        <f aca="false">SUM(L176:L178)</f>
        <v>2.7685</v>
      </c>
      <c r="T175" s="14" t="n">
        <f aca="false">S175/L175</f>
        <v>0.738266666666667</v>
      </c>
    </row>
    <row r="176" customFormat="false" ht="15" hidden="false" customHeight="false" outlineLevel="0" collapsed="false">
      <c r="F176" s="6" t="s">
        <v>1429</v>
      </c>
      <c r="G176" s="6" t="s">
        <v>225</v>
      </c>
      <c r="H176" s="6" t="n">
        <v>1</v>
      </c>
      <c r="I176" s="7" t="n">
        <v>0.8</v>
      </c>
      <c r="J176" s="7" t="n">
        <v>1.9</v>
      </c>
      <c r="K176" s="16" t="s">
        <v>226</v>
      </c>
      <c r="L176" s="7" t="n">
        <f aca="false">I176*J176</f>
        <v>1.52</v>
      </c>
      <c r="M176" s="7" t="n">
        <v>17.97</v>
      </c>
      <c r="N176" s="7" t="n">
        <v>-39.55</v>
      </c>
      <c r="O176" s="6" t="s">
        <v>594</v>
      </c>
      <c r="P176" s="6"/>
      <c r="Q176" s="6" t="s">
        <v>1430</v>
      </c>
      <c r="R176" s="16" t="s">
        <v>281</v>
      </c>
    </row>
    <row r="177" customFormat="false" ht="15" hidden="false" customHeight="false" outlineLevel="0" collapsed="false">
      <c r="F177" s="6" t="s">
        <v>1431</v>
      </c>
      <c r="G177" s="6" t="s">
        <v>225</v>
      </c>
      <c r="H177" s="6" t="n">
        <v>1</v>
      </c>
      <c r="I177" s="7" t="n">
        <v>0.55</v>
      </c>
      <c r="J177" s="7" t="n">
        <v>1.55</v>
      </c>
      <c r="K177" s="16" t="s">
        <v>226</v>
      </c>
      <c r="L177" s="7" t="n">
        <f aca="false">I177*J177</f>
        <v>0.8525</v>
      </c>
      <c r="M177" s="7" t="n">
        <v>18.82</v>
      </c>
      <c r="N177" s="7" t="n">
        <v>-39.55</v>
      </c>
      <c r="O177" s="6" t="s">
        <v>389</v>
      </c>
      <c r="P177" s="6"/>
      <c r="Q177" s="6" t="s">
        <v>1432</v>
      </c>
    </row>
    <row r="178" customFormat="false" ht="15" hidden="false" customHeight="false" outlineLevel="0" collapsed="false">
      <c r="F178" s="6" t="s">
        <v>1433</v>
      </c>
      <c r="G178" s="6" t="s">
        <v>225</v>
      </c>
      <c r="H178" s="6" t="n">
        <v>1</v>
      </c>
      <c r="I178" s="7" t="n">
        <v>0.55</v>
      </c>
      <c r="J178" s="7" t="n">
        <v>0.72</v>
      </c>
      <c r="K178" s="16" t="s">
        <v>226</v>
      </c>
      <c r="L178" s="7" t="n">
        <f aca="false">I178*J178</f>
        <v>0.396</v>
      </c>
      <c r="M178" s="7" t="n">
        <v>18.82</v>
      </c>
      <c r="N178" s="7" t="n">
        <v>-37.95</v>
      </c>
      <c r="O178" s="6" t="s">
        <v>562</v>
      </c>
      <c r="P178" s="6"/>
      <c r="Q178" s="6" t="s">
        <v>1434</v>
      </c>
      <c r="R178" s="16" t="s">
        <v>281</v>
      </c>
    </row>
  </sheetData>
  <autoFilter ref="A4:T1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2026-10-25T00:17:37Z</dcterms:created>
  <dc:creator>openpyxl</dc:creator>
  <dc:description/>
  <dc:language>en-US</dc:language>
  <cp:lastModifiedBy/>
  <dcterms:modified xsi:type="dcterms:W3CDTF">2026-10-25T00:17:37Z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